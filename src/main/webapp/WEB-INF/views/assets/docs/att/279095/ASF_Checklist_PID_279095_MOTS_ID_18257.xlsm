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Arun\1502\"/>
    </mc:Choice>
  </mc:AlternateContent>
  <workbookProtection lockStructure="1"/>
  <bookViews>
    <workbookView xWindow="480" yWindow="30" windowWidth="11355" windowHeight="9210"/>
  </bookViews>
  <sheets>
    <sheet name="Checklist" sheetId="8" r:id="rId1"/>
    <sheet name="frmMetaData" sheetId="15" state="hidden" r:id="rId2"/>
    <sheet name="." sheetId="14" state="hidden" r:id="rId3"/>
    <sheet name="Sheet3" sheetId="13" state="hidden" r:id="rId4"/>
  </sheets>
  <definedNames>
    <definedName name="AuthenticationEvents">#REF!</definedName>
    <definedName name="ClassificationList">Sheet3!$A$2:$A$5</definedName>
    <definedName name="Events">#REF!</definedName>
    <definedName name="RESPONSE">'.'!$A$1:$A$4</definedName>
  </definedNames>
  <calcPr calcId="152511"/>
</workbook>
</file>

<file path=xl/calcChain.xml><?xml version="1.0" encoding="utf-8"?>
<calcChain xmlns="http://schemas.openxmlformats.org/spreadsheetml/2006/main">
  <c r="D12" i="8" l="1"/>
  <c r="D39" i="8" l="1"/>
  <c r="D37" i="8"/>
  <c r="D34" i="8"/>
  <c r="D30" i="8"/>
  <c r="D28" i="8"/>
  <c r="D26" i="8"/>
  <c r="D21" i="8"/>
  <c r="D19" i="8"/>
  <c r="D17" i="8"/>
  <c r="D15" i="8"/>
  <c r="D8" i="8"/>
  <c r="A29" i="8" l="1"/>
  <c r="A9" i="8"/>
  <c r="A10" i="8" s="1"/>
  <c r="A12" i="8" s="1"/>
  <c r="A13" i="8" s="1"/>
  <c r="A14" i="8" s="1"/>
  <c r="A15" i="8" s="1"/>
  <c r="A17" i="8" s="1"/>
  <c r="A19" i="8" l="1"/>
  <c r="A21" i="8" s="1"/>
  <c r="A22" i="8" s="1"/>
  <c r="A23" i="8" s="1"/>
  <c r="A24" i="8" s="1"/>
  <c r="A25" i="8" s="1"/>
</calcChain>
</file>

<file path=xl/sharedStrings.xml><?xml version="1.0" encoding="utf-8"?>
<sst xmlns="http://schemas.openxmlformats.org/spreadsheetml/2006/main" count="87" uniqueCount="63">
  <si>
    <t>Checklist Question</t>
  </si>
  <si>
    <t>Checklist Response</t>
  </si>
  <si>
    <t>AT&amp;T Proprietary (Internal Use Only)</t>
  </si>
  <si>
    <t>AT&amp;T Proprietary (Restricted)</t>
  </si>
  <si>
    <t>AT&amp;T Proprietary (Secure Restricted)</t>
  </si>
  <si>
    <t>AT&amp;T Proprietary (Sensitive Personal Information)</t>
  </si>
  <si>
    <t>Classifications</t>
  </si>
  <si>
    <t>2013 - A1 - Injection</t>
  </si>
  <si>
    <t>2013 - A2 - Broken Authentication and Session Management</t>
  </si>
  <si>
    <t>2013 - A3 - Cross-Site Scripting (XSS)</t>
  </si>
  <si>
    <t>2013 - A4 - Insecure Direct Object References</t>
  </si>
  <si>
    <t>2013 - A5 - Security Misconfiguration</t>
  </si>
  <si>
    <t>2013 - A6 - Sensitive Data Exposure</t>
  </si>
  <si>
    <t>2013 - A7 - Missing Function Level Access Control</t>
  </si>
  <si>
    <t>2013 - A8 - Cross-Site Request Forgery (CSRF)</t>
  </si>
  <si>
    <t>2013 - A9 - Using Components with Known Vulnerabilities</t>
  </si>
  <si>
    <t>2013 - A10 - Unvalidated Redirects and Forwards</t>
  </si>
  <si>
    <t>Does the change involve modifying or adding user supplied input fields, e.g. untrusted data, (either via a new or existing UI screen) that will be later interpreted by a command or query?</t>
  </si>
  <si>
    <t>Does the change involve modifying or adding code for parameters being passed via the URL to be later interpreted by a command or query?</t>
  </si>
  <si>
    <t>Does the change involve modifying or adding logic that validates untrusted data, e.g. user supplied input fields or URL parameters, etc…?</t>
  </si>
  <si>
    <t>Does the change involve modifying or adding code associated with SessionIDs?</t>
  </si>
  <si>
    <t>Does the change involve modifying or adding code associated with user supplied input that will later be included in an output page?</t>
  </si>
  <si>
    <t>Does your error handling reveal stack traces or other overly informative error messages to users?</t>
  </si>
  <si>
    <t>Does the change involve modifying or adding code associated with sensitive data, e.g. SPI, PCI, SOX, AT&amp;T Proprietary (Secure Restricted), etc…?</t>
  </si>
  <si>
    <t>Does the change involve modifying or adding code associated with cryptographic algorithms or keys, e.g. Voltage or other third party algorithms, etc...?</t>
  </si>
  <si>
    <t>Does the change involve the modifying or adding code associated with the use of a URL redirect or forward (called "transfer" in .NET) to another destination?</t>
  </si>
  <si>
    <t>Review with Development Team must include:</t>
  </si>
  <si>
    <t>Does production code contain any debugging functionality that is enabled?</t>
  </si>
  <si>
    <t>Does the change involve exceptions/error handling associated with senstive data which is written to a debug/application log or displayed to the user?</t>
  </si>
  <si>
    <t>Does the change involve components (including but not limited to open source software components  or 3rd party libraries) where versions/updates are managed outside the TSS process?</t>
  </si>
  <si>
    <t>Download OWASP Top 10 (PDF version)</t>
  </si>
  <si>
    <t>YES</t>
  </si>
  <si>
    <t>NO</t>
  </si>
  <si>
    <t>UNSURE</t>
  </si>
  <si>
    <t/>
  </si>
  <si>
    <t>Reviewer Name:</t>
  </si>
  <si>
    <t>Reviewer ATTUID:</t>
  </si>
  <si>
    <t>Application MOTS ID:</t>
  </si>
  <si>
    <t>Application Name:</t>
  </si>
  <si>
    <t>Release M9 Date:</t>
  </si>
  <si>
    <t>Document Date:</t>
  </si>
  <si>
    <t>Common Web Security Assessment Checklist</t>
  </si>
  <si>
    <r>
      <rPr>
        <b/>
        <sz val="12"/>
        <color theme="3"/>
        <rFont val="Calibri"/>
        <family val="2"/>
        <scheme val="minor"/>
      </rPr>
      <t>AT&amp;T Proprietary (Restricted)</t>
    </r>
    <r>
      <rPr>
        <b/>
        <sz val="15"/>
        <color theme="3"/>
        <rFont val="Calibri"/>
        <family val="2"/>
        <scheme val="minor"/>
      </rPr>
      <t xml:space="preserve">
</t>
    </r>
    <r>
      <rPr>
        <b/>
        <sz val="12"/>
        <color theme="3"/>
        <rFont val="Calibri"/>
        <family val="2"/>
        <scheme val="minor"/>
      </rPr>
      <t>Only for use by authorized individuals or any above-designated team(s) within the AT&amp;&amp;T companies and not for general distribution</t>
    </r>
  </si>
  <si>
    <t>Is your application missing any of the following: authentication, authorization and session management?</t>
  </si>
  <si>
    <t>Is any of the application software out of date, e.g. not compliant with AT&amp;T TSS Standards? This includes the Web/App Server, DBMS, application controlled third party software, and code libraries</t>
  </si>
  <si>
    <t>Are any unnecessary features controlled by the application team enabled or installed? This may include but not limited to ports, services, pages, accounts, privileges.</t>
  </si>
  <si>
    <t>Are default accounts and their passwords controlled by the application team still enabled and unchanged?</t>
  </si>
  <si>
    <t>Function level access controls are critcal to ensuring least privilege.  Therefore, this item should always be reviewed with any changes.</t>
  </si>
  <si>
    <t>Development Team Notes/Comments</t>
  </si>
  <si>
    <r>
      <t xml:space="preserve">This checklist is to aid application teams in identifing Open Web Application Security Project (OWASP) Top 10 areas of concerns during coding.
</t>
    </r>
    <r>
      <rPr>
        <b/>
        <sz val="11"/>
        <rFont val="Calibri"/>
        <family val="2"/>
        <scheme val="minor"/>
      </rPr>
      <t>How to use this checklist?</t>
    </r>
    <r>
      <rPr>
        <sz val="11"/>
        <rFont val="Calibri"/>
        <family val="2"/>
        <scheme val="minor"/>
      </rPr>
      <t xml:space="preserve">
Click the "Reset Checklist" to begin a new assessment.
Reponse to each checklist question with a "YES", "NO", or "UNSURE".
</t>
    </r>
    <r>
      <rPr>
        <b/>
        <sz val="11"/>
        <rFont val="Calibri"/>
        <family val="2"/>
        <scheme val="minor"/>
      </rPr>
      <t>NOTE:</t>
    </r>
    <r>
      <rPr>
        <sz val="11"/>
        <rFont val="Calibri"/>
        <family val="2"/>
        <scheme val="minor"/>
      </rPr>
      <t xml:space="preserve"> "UNSURE" may be used if you don't understand the question or if you are not sure if the answer is "YES" or "NO".
After completing Checklist download a copy of the OWASP Top 10 (link provided below).
Review applicable section of the OWASP Top 10 with development team</t>
    </r>
  </si>
  <si>
    <t>Does the change involve modifying or adding code associated with account management functions  (e.g., account creation, change password, recover password) via the web?</t>
  </si>
  <si>
    <t>Does the change involve modifying or adding code that references a system object either directly or indirectly?  (Examples of system objects include but are not limited to files, directories, or database objects.)</t>
  </si>
  <si>
    <t>Are the security settings in your development frameworks (e.g., Struts, Spring, ASP.NET) and libraries not set to secure values?
Hint: If you are unsure of the settings for your framework, mark "UNSURE".</t>
  </si>
  <si>
    <t>Does the change involve the modifying or adding code associated with the processing of a HTTP requests?</t>
  </si>
  <si>
    <t>Does the change involve the modifying or adding of code associated with the processing of a URL parameter as part of an HTTP response?</t>
  </si>
  <si>
    <t>Does the change involve modifying or adding code associated with web credential authentication?</t>
  </si>
  <si>
    <t>Opus / opus mobile</t>
  </si>
  <si>
    <t>am6489</t>
  </si>
  <si>
    <t>Arun Kumar Madas</t>
  </si>
  <si>
    <t>[am6489] The changes incorporated for the project does not involve any new UI screen hence access level is not needed.</t>
  </si>
  <si>
    <t xml:space="preserve">[am6489] We have couple of new store configurables and new enterprise configurables/updates to existing enterprise configurables. There are no DAO changes/Bean/Remote java class changes. </t>
  </si>
  <si>
    <t>[am6489] The change involves working with ingenico api which is already included into opus code base. We are not adding any new jars/creating a new api. New forms are developed and loaded to the device (BAU process), form interaction happens via ingenico api (BAU process). No TSS Exception is needed.</t>
  </si>
  <si>
    <t>[am6489] Two New buttons added to the existing UI leverage existing struts framework and existing dispatch methods to view the pdf overlay (bau), print wca (bau) features. No URL request parameters were newly added. Existing dispatch method=POST are leveraged.</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</si>
</sst>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Calibri"/>
      <family val="2"/>
      <scheme val="minor"/>
    </font>
    <font>
      <sz val="10"/>
      <name val="Calibri"/>
      <family val="2"/>
      <scheme val="minor"/>
    </font>
    <font>
      <sz val="11"/>
      <name val="Calibri"/>
      <family val="2"/>
      <scheme val="minor"/>
    </font>
    <font>
      <b/>
      <sz val="11"/>
      <name val="Calibri"/>
      <family val="2"/>
      <scheme val="minor"/>
    </font>
    <font>
      <b/>
      <sz val="10"/>
      <name val="Arial"/>
      <family val="2"/>
    </font>
    <font>
      <sz val="10"/>
      <name val="Arial"/>
      <family val="2"/>
    </font>
    <font>
      <b/>
      <i/>
      <sz val="11"/>
      <name val="Calibri"/>
      <family val="2"/>
      <scheme val="minor"/>
    </font>
    <font>
      <b/>
      <sz val="15"/>
      <color theme="3"/>
      <name val="Calibri"/>
      <family val="2"/>
      <scheme val="minor"/>
    </font>
    <font>
      <b/>
      <sz val="11"/>
      <color theme="3"/>
      <name val="Calibri"/>
      <family val="2"/>
      <scheme val="minor"/>
    </font>
    <font>
      <u/>
      <sz val="10"/>
      <color theme="10"/>
      <name val="Arial"/>
      <family val="2"/>
    </font>
    <font>
      <b/>
      <sz val="11"/>
      <name val="Calibri"/>
      <family val="2"/>
    </font>
    <font>
      <b/>
      <sz val="12"/>
      <color theme="3"/>
      <name val="Calibri"/>
      <family val="2"/>
      <scheme val="minor"/>
    </font>
    <font>
      <b/>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theme="3" tint="0.59999389629810485"/>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top/>
      <bottom/>
      <diagonal/>
    </border>
    <border>
      <left style="medium">
        <color indexed="64"/>
      </left>
      <right/>
      <top style="medium">
        <color indexed="64"/>
      </top>
      <bottom style="thin">
        <color indexed="64"/>
      </bottom>
      <diagonal/>
    </border>
    <border>
      <left/>
      <right style="thin">
        <color auto="1"/>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4">
    <xf numFmtId="0" fontId="0" fillId="0" borderId="0"/>
    <xf numFmtId="0" fontId="8" fillId="0" borderId="2" applyNumberFormat="0" applyFill="0" applyAlignment="0" applyProtection="0"/>
    <xf numFmtId="0" fontId="9" fillId="0" borderId="0" applyNumberFormat="0" applyFill="0" applyBorder="0" applyAlignment="0" applyProtection="0"/>
    <xf numFmtId="0" fontId="10" fillId="0" borderId="0" applyNumberFormat="0" applyFill="0" applyBorder="0" applyAlignment="0" applyProtection="0"/>
  </cellStyleXfs>
  <cellXfs count="62">
    <xf numFmtId="0" fontId="0" fillId="0" borderId="0" xfId="0"/>
    <xf numFmtId="0" fontId="1" fillId="0" borderId="0" xfId="0" applyFont="1"/>
    <xf numFmtId="0" fontId="2" fillId="0" borderId="0" xfId="0" applyFont="1"/>
    <xf numFmtId="0" fontId="3" fillId="0" borderId="0" xfId="0" applyFont="1" applyAlignment="1">
      <alignment horizontal="center"/>
    </xf>
    <xf numFmtId="0" fontId="3" fillId="0" borderId="0" xfId="0" applyFont="1" applyAlignment="1">
      <alignment wrapText="1"/>
    </xf>
    <xf numFmtId="0" fontId="3" fillId="0" borderId="1" xfId="0" applyFont="1" applyBorder="1" applyAlignment="1">
      <alignment vertical="center" wrapText="1"/>
    </xf>
    <xf numFmtId="0" fontId="3" fillId="0" borderId="1" xfId="0" applyFont="1" applyBorder="1" applyAlignment="1" applyProtection="1">
      <alignment horizontal="center" vertical="center"/>
      <protection locked="0"/>
    </xf>
    <xf numFmtId="0" fontId="3" fillId="0" borderId="0" xfId="0" applyFont="1"/>
    <xf numFmtId="0" fontId="3" fillId="0" borderId="0" xfId="0" applyFont="1" applyAlignment="1">
      <alignment horizontal="center" wrapText="1"/>
    </xf>
    <xf numFmtId="0" fontId="3" fillId="0" borderId="1" xfId="0" applyFont="1" applyBorder="1" applyAlignment="1">
      <alignment horizontal="left" vertical="center" wrapText="1"/>
    </xf>
    <xf numFmtId="0" fontId="6" fillId="0" borderId="1" xfId="0" applyFont="1" applyFill="1" applyBorder="1" applyAlignment="1">
      <alignment wrapText="1"/>
    </xf>
    <xf numFmtId="0" fontId="3" fillId="0" borderId="3" xfId="0" applyFont="1" applyBorder="1" applyAlignment="1">
      <alignment horizontal="center" vertical="center"/>
    </xf>
    <xf numFmtId="0" fontId="6" fillId="0" borderId="0" xfId="0" applyFont="1"/>
    <xf numFmtId="0" fontId="6" fillId="0" borderId="0" xfId="0" quotePrefix="1" applyFont="1"/>
    <xf numFmtId="0" fontId="11" fillId="0" borderId="0" xfId="0" applyFont="1" applyAlignment="1">
      <alignment vertical="center"/>
    </xf>
    <xf numFmtId="0" fontId="5" fillId="0" borderId="0" xfId="0" applyFont="1"/>
    <xf numFmtId="0" fontId="0" fillId="0" borderId="0" xfId="0" applyAlignment="1">
      <alignment horizontal="left"/>
    </xf>
    <xf numFmtId="14" fontId="0" fillId="0" borderId="0" xfId="0" applyNumberFormat="1" applyAlignment="1">
      <alignment horizontal="left"/>
    </xf>
    <xf numFmtId="1" fontId="0" fillId="0" borderId="0" xfId="0" applyNumberFormat="1" applyAlignment="1">
      <alignment horizontal="left"/>
    </xf>
    <xf numFmtId="0" fontId="6" fillId="0" borderId="1" xfId="0" applyFont="1" applyBorder="1" applyAlignment="1">
      <alignment wrapText="1"/>
    </xf>
    <xf numFmtId="0" fontId="1" fillId="0" borderId="0" xfId="0" applyFont="1" applyAlignment="1">
      <alignment horizontal="center"/>
    </xf>
    <xf numFmtId="0" fontId="9" fillId="2" borderId="12" xfId="2" applyFill="1" applyBorder="1" applyAlignment="1">
      <alignment horizontal="center" vertical="center" wrapText="1"/>
    </xf>
    <xf numFmtId="0" fontId="9" fillId="2" borderId="13" xfId="2" applyFill="1" applyBorder="1" applyAlignment="1">
      <alignment horizontal="center" vertical="center" wrapText="1"/>
    </xf>
    <xf numFmtId="0" fontId="3" fillId="0" borderId="4" xfId="0" applyFont="1" applyBorder="1" applyAlignment="1">
      <alignment vertical="center" wrapText="1"/>
    </xf>
    <xf numFmtId="0" fontId="0" fillId="0" borderId="1" xfId="0" applyBorder="1" applyAlignment="1">
      <alignment wrapText="1"/>
    </xf>
    <xf numFmtId="0" fontId="3" fillId="0" borderId="1" xfId="0" applyFont="1" applyBorder="1" applyAlignment="1">
      <alignment horizontal="center" vertical="center" wrapText="1"/>
    </xf>
    <xf numFmtId="0" fontId="3" fillId="0" borderId="1" xfId="0" applyFont="1" applyBorder="1" applyAlignment="1">
      <alignment wrapText="1"/>
    </xf>
    <xf numFmtId="0" fontId="2" fillId="0" borderId="4" xfId="0" applyFont="1" applyBorder="1"/>
    <xf numFmtId="0" fontId="2" fillId="0" borderId="4" xfId="0" applyFont="1" applyBorder="1" applyAlignment="1">
      <alignment wrapText="1"/>
    </xf>
    <xf numFmtId="0" fontId="8" fillId="4" borderId="14" xfId="1" applyFill="1" applyBorder="1" applyAlignment="1">
      <alignment horizontal="center" wrapText="1"/>
    </xf>
    <xf numFmtId="0" fontId="8" fillId="4" borderId="15" xfId="1" applyFill="1" applyBorder="1" applyAlignment="1">
      <alignment horizontal="center" wrapText="1"/>
    </xf>
    <xf numFmtId="0" fontId="8" fillId="4" borderId="16" xfId="1" applyFill="1" applyBorder="1" applyAlignment="1">
      <alignment horizontal="center" wrapText="1"/>
    </xf>
    <xf numFmtId="0" fontId="2" fillId="0" borderId="4" xfId="0" applyFont="1" applyBorder="1" applyAlignment="1" applyProtection="1">
      <alignment horizontal="center"/>
    </xf>
    <xf numFmtId="0" fontId="2" fillId="0" borderId="4" xfId="0" applyFont="1" applyBorder="1" applyAlignment="1">
      <alignment horizontal="center"/>
    </xf>
    <xf numFmtId="49" fontId="2" fillId="0" borderId="5" xfId="0" applyNumberFormat="1" applyFont="1" applyBorder="1" applyAlignment="1">
      <alignment horizontal="center" wrapText="1"/>
    </xf>
    <xf numFmtId="49" fontId="2" fillId="0" borderId="6" xfId="0" applyNumberFormat="1" applyFont="1" applyBorder="1" applyAlignment="1">
      <alignment horizontal="center" wrapText="1"/>
    </xf>
    <xf numFmtId="49" fontId="2" fillId="0" borderId="7" xfId="0" applyNumberFormat="1"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2" fillId="0" borderId="7" xfId="0" applyFont="1" applyBorder="1" applyAlignment="1">
      <alignment horizontal="center" wrapText="1"/>
    </xf>
    <xf numFmtId="0" fontId="7" fillId="3" borderId="3" xfId="0" applyFont="1" applyFill="1" applyBorder="1" applyAlignment="1">
      <alignment horizontal="left" vertical="center"/>
    </xf>
    <xf numFmtId="0" fontId="7" fillId="3" borderId="1" xfId="0" applyFont="1" applyFill="1" applyBorder="1" applyAlignment="1">
      <alignment horizontal="left" vertical="center"/>
    </xf>
    <xf numFmtId="0" fontId="7" fillId="3" borderId="4" xfId="0" applyFont="1" applyFill="1" applyBorder="1" applyAlignment="1">
      <alignment horizontal="left" vertical="center"/>
    </xf>
    <xf numFmtId="0" fontId="3" fillId="0" borderId="1" xfId="0" applyFont="1" applyBorder="1" applyAlignment="1">
      <alignment horizontal="center" vertical="center" wrapText="1"/>
    </xf>
    <xf numFmtId="0" fontId="9" fillId="2" borderId="10" xfId="2" applyFill="1" applyBorder="1" applyAlignment="1">
      <alignment horizontal="center" vertical="center" wrapText="1"/>
    </xf>
    <xf numFmtId="0" fontId="9" fillId="2" borderId="11" xfId="2" applyFill="1" applyBorder="1" applyAlignment="1">
      <alignment horizontal="center" vertical="center" wrapText="1"/>
    </xf>
    <xf numFmtId="0" fontId="7" fillId="3" borderId="3" xfId="0" applyFont="1" applyFill="1" applyBorder="1" applyAlignment="1">
      <alignment horizontal="left"/>
    </xf>
    <xf numFmtId="0" fontId="7" fillId="3" borderId="1" xfId="0" applyFont="1" applyFill="1" applyBorder="1" applyAlignment="1">
      <alignment horizontal="left"/>
    </xf>
    <xf numFmtId="0" fontId="7" fillId="3" borderId="4" xfId="0" applyFont="1" applyFill="1" applyBorder="1" applyAlignment="1">
      <alignment horizontal="left"/>
    </xf>
    <xf numFmtId="0" fontId="8" fillId="4" borderId="17" xfId="1" applyFill="1" applyBorder="1" applyAlignment="1">
      <alignment horizontal="center"/>
    </xf>
    <xf numFmtId="0" fontId="8" fillId="4" borderId="18" xfId="1" applyFill="1" applyBorder="1" applyAlignment="1">
      <alignment horizontal="center"/>
    </xf>
    <xf numFmtId="0" fontId="8" fillId="4" borderId="19" xfId="1" applyFill="1" applyBorder="1" applyAlignment="1">
      <alignment horizontal="center"/>
    </xf>
    <xf numFmtId="0" fontId="3" fillId="0" borderId="9" xfId="0" applyFont="1" applyBorder="1" applyAlignment="1">
      <alignment horizontal="center" vertical="center" wrapText="1"/>
    </xf>
    <xf numFmtId="0" fontId="3" fillId="0" borderId="0" xfId="0" applyFont="1" applyBorder="1" applyAlignment="1">
      <alignment horizontal="center" vertical="center" wrapText="1"/>
    </xf>
    <xf numFmtId="0" fontId="3" fillId="0" borderId="8" xfId="0" applyFont="1" applyBorder="1" applyAlignment="1">
      <alignment horizontal="center" vertical="center" wrapText="1"/>
    </xf>
    <xf numFmtId="0" fontId="3" fillId="0" borderId="9" xfId="0" applyFont="1" applyBorder="1" applyAlignment="1">
      <alignment horizontal="center" wrapText="1"/>
    </xf>
    <xf numFmtId="0" fontId="3" fillId="0" borderId="0" xfId="0" applyFont="1" applyBorder="1" applyAlignment="1">
      <alignment horizontal="center" wrapText="1"/>
    </xf>
    <xf numFmtId="0" fontId="3" fillId="0" borderId="8" xfId="0" applyFont="1" applyBorder="1" applyAlignment="1">
      <alignment horizontal="center" wrapText="1"/>
    </xf>
    <xf numFmtId="0" fontId="10" fillId="0" borderId="9" xfId="3" applyBorder="1" applyAlignment="1">
      <alignment horizontal="center" vertical="center" wrapText="1"/>
    </xf>
    <xf numFmtId="0" fontId="10" fillId="0" borderId="0" xfId="3" applyBorder="1" applyAlignment="1">
      <alignment horizontal="center" vertical="center" wrapText="1"/>
    </xf>
    <xf numFmtId="0" fontId="10" fillId="0" borderId="8" xfId="3" applyBorder="1" applyAlignment="1">
      <alignment horizontal="center" vertical="center" wrapText="1"/>
    </xf>
    <xf numFmtId="2" fontId="2" fillId="0" borderId="4" xfId="0" applyNumberFormat="1" applyFont="1" applyBorder="1" applyAlignment="1">
      <alignment wrapText="1"/>
    </xf>
  </cellXfs>
  <cellStyles count="4">
    <cellStyle name="Heading 1" xfId="1" builtinId="16"/>
    <cellStyle name="Heading 4" xfId="2" builtinId="19"/>
    <cellStyle name="Hyperlink" xfId="3"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76200</xdr:rowOff>
        </xdr:from>
        <xdr:to>
          <xdr:col>4</xdr:col>
          <xdr:colOff>1971675</xdr:colOff>
          <xdr:row>3</xdr:row>
          <xdr:rowOff>323850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4933950</xdr:colOff>
          <xdr:row>2</xdr:row>
          <xdr:rowOff>152400</xdr:rowOff>
        </xdr:from>
        <xdr:to>
          <xdr:col>4</xdr:col>
          <xdr:colOff>1971675</xdr:colOff>
          <xdr:row>2</xdr:row>
          <xdr:rowOff>590550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Update Reviewer and Application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4625340</xdr:colOff>
          <xdr:row>3</xdr:row>
          <xdr:rowOff>7620</xdr:rowOff>
        </xdr:to>
        <xdr:pic>
          <xdr:nvPicPr>
            <xdr:cNvPr id="9" name="Picture 8"/>
            <xdr:cNvPicPr>
              <a:picLocks noChangeAspect="1" noChangeArrowheads="1"/>
              <a:extLst>
                <a:ext uri="{84589F7E-364E-4C9E-8A38-B11213B215E9}">
                  <a14:cameraTool cellRange="frmMetaData!$A$1:$C$4" spid="_x0000_s1194"/>
                </a:ext>
              </a:extLst>
            </xdr:cNvPicPr>
          </xdr:nvPicPr>
          <xdr:blipFill>
            <a:blip xmlns:r="http://schemas.openxmlformats.org/officeDocument/2006/relationships" r:embed="rId1"/>
            <a:srcRect/>
            <a:stretch>
              <a:fillRect/>
            </a:stretch>
          </xdr:blipFill>
          <xdr:spPr bwMode="auto">
            <a:xfrm>
              <a:off x="0" y="1447800"/>
              <a:ext cx="4960620" cy="70866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38100</xdr:colOff>
      <xdr:row>27</xdr:row>
      <xdr:rowOff>281940</xdr:rowOff>
    </xdr:from>
    <xdr:to>
      <xdr:col>1</xdr:col>
      <xdr:colOff>434340</xdr:colOff>
      <xdr:row>27</xdr:row>
      <xdr:rowOff>541020</xdr:rowOff>
    </xdr:to>
    <xdr:sp macro="[0]!ThisWorkbook.SPI" textlink="">
      <xdr:nvSpPr>
        <xdr:cNvPr id="5" name="TextBox 4"/>
        <xdr:cNvSpPr txBox="1"/>
      </xdr:nvSpPr>
      <xdr:spPr>
        <a:xfrm>
          <a:off x="373380" y="10881360"/>
          <a:ext cx="39624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SPI</a:t>
          </a:r>
          <a:r>
            <a:rPr lang="en-US" sz="1100"/>
            <a:t>,</a:t>
          </a:r>
        </a:p>
      </xdr:txBody>
    </xdr:sp>
    <xdr:clientData/>
  </xdr:twoCellAnchor>
  <xdr:twoCellAnchor>
    <xdr:from>
      <xdr:col>1</xdr:col>
      <xdr:colOff>434340</xdr:colOff>
      <xdr:row>27</xdr:row>
      <xdr:rowOff>281940</xdr:rowOff>
    </xdr:from>
    <xdr:to>
      <xdr:col>1</xdr:col>
      <xdr:colOff>845820</xdr:colOff>
      <xdr:row>27</xdr:row>
      <xdr:rowOff>541020</xdr:rowOff>
    </xdr:to>
    <xdr:sp macro="[0]!ThisWorkbook.PCI" textlink="">
      <xdr:nvSpPr>
        <xdr:cNvPr id="6" name="TextBox 5"/>
        <xdr:cNvSpPr txBox="1"/>
      </xdr:nvSpPr>
      <xdr:spPr>
        <a:xfrm>
          <a:off x="769620" y="10881360"/>
          <a:ext cx="41148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PCI</a:t>
          </a:r>
          <a:r>
            <a:rPr lang="en-US" sz="1100">
              <a:solidFill>
                <a:schemeClr val="accent1"/>
              </a:solidFill>
            </a:rPr>
            <a:t>,</a:t>
          </a:r>
        </a:p>
      </xdr:txBody>
    </xdr:sp>
    <xdr:clientData/>
  </xdr:twoCellAnchor>
  <xdr:twoCellAnchor>
    <xdr:from>
      <xdr:col>1</xdr:col>
      <xdr:colOff>845820</xdr:colOff>
      <xdr:row>27</xdr:row>
      <xdr:rowOff>281940</xdr:rowOff>
    </xdr:from>
    <xdr:to>
      <xdr:col>1</xdr:col>
      <xdr:colOff>1303020</xdr:colOff>
      <xdr:row>27</xdr:row>
      <xdr:rowOff>541020</xdr:rowOff>
    </xdr:to>
    <xdr:sp macro="[0]!ThisWorkbook.SOX" textlink="">
      <xdr:nvSpPr>
        <xdr:cNvPr id="7" name="TextBox 6"/>
        <xdr:cNvSpPr txBox="1"/>
      </xdr:nvSpPr>
      <xdr:spPr>
        <a:xfrm>
          <a:off x="1181100" y="10881360"/>
          <a:ext cx="45720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SOX</a:t>
          </a:r>
          <a:r>
            <a:rPr lang="en-US" sz="1100"/>
            <a:t>,</a:t>
          </a:r>
        </a:p>
      </xdr:txBody>
    </xdr:sp>
    <xdr:clientData/>
  </xdr:twoCellAnchor>
  <xdr:twoCellAnchor>
    <xdr:from>
      <xdr:col>1</xdr:col>
      <xdr:colOff>1303020</xdr:colOff>
      <xdr:row>27</xdr:row>
      <xdr:rowOff>281940</xdr:rowOff>
    </xdr:from>
    <xdr:to>
      <xdr:col>1</xdr:col>
      <xdr:colOff>3992880</xdr:colOff>
      <xdr:row>27</xdr:row>
      <xdr:rowOff>541020</xdr:rowOff>
    </xdr:to>
    <xdr:sp macro="[0]!ThisWorkbook.SecureRestricted" textlink="">
      <xdr:nvSpPr>
        <xdr:cNvPr id="8" name="TextBox 7"/>
        <xdr:cNvSpPr txBox="1"/>
      </xdr:nvSpPr>
      <xdr:spPr>
        <a:xfrm>
          <a:off x="1638300" y="10881360"/>
          <a:ext cx="2689860" cy="259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chemeClr val="accent1"/>
              </a:solidFill>
            </a:rPr>
            <a:t>AT&amp;T</a:t>
          </a:r>
          <a:r>
            <a:rPr lang="en-US" sz="1100" u="sng" baseline="0">
              <a:solidFill>
                <a:schemeClr val="accent1"/>
              </a:solidFill>
            </a:rPr>
            <a:t> Proprietary (Secure Restricted)</a:t>
          </a:r>
          <a:r>
            <a:rPr lang="en-US" sz="1100" u="none" baseline="0"/>
            <a:t>, etc...</a:t>
          </a:r>
          <a:endParaRPr lang="en-US" sz="1100" u="none"/>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owasptop10.googlecode.com/files/OWASP%20Top%2010%20-%202013.pdf"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40"/>
  <sheetViews>
    <sheetView tabSelected="1" zoomScaleNormal="100" workbookViewId="0">
      <selection activeCell="E8" sqref="E8:E10"/>
    </sheetView>
  </sheetViews>
  <sheetFormatPr defaultColWidth="9.140625" defaultRowHeight="15" x14ac:dyDescent="0.25"/>
  <cols>
    <col min="1" max="1" width="4.85546875" style="3" customWidth="1"/>
    <col min="2" max="2" width="72.5703125" style="4" customWidth="1"/>
    <col min="3" max="3" width="9.42578125" style="3" customWidth="1"/>
    <col min="4" max="4" width="54.28515625" style="8" customWidth="1"/>
    <col min="5" max="5" width="33.28515625" style="2" customWidth="1"/>
    <col min="6" max="16384" width="9.140625" style="2"/>
  </cols>
  <sheetData>
    <row r="1" spans="1:6" ht="19.5" x14ac:dyDescent="0.3">
      <c r="A1" s="49" t="s">
        <v>41</v>
      </c>
      <c r="B1" s="50"/>
      <c r="C1" s="50"/>
      <c r="D1" s="50"/>
      <c r="E1" s="51"/>
    </row>
    <row r="2" spans="1:6" ht="111" customHeight="1" x14ac:dyDescent="0.2">
      <c r="A2" s="52" t="s">
        <v>49</v>
      </c>
      <c r="B2" s="53"/>
      <c r="C2" s="53"/>
      <c r="D2" s="53"/>
      <c r="E2" s="54"/>
    </row>
    <row r="3" spans="1:6" ht="55.15" customHeight="1" x14ac:dyDescent="0.2">
      <c r="A3" s="52"/>
      <c r="B3" s="53"/>
      <c r="C3" s="53"/>
      <c r="D3" s="53"/>
      <c r="E3" s="54"/>
    </row>
    <row r="4" spans="1:6" ht="33" customHeight="1" x14ac:dyDescent="0.25">
      <c r="A4" s="55"/>
      <c r="B4" s="56"/>
      <c r="C4" s="56"/>
      <c r="D4" s="56"/>
      <c r="E4" s="57"/>
    </row>
    <row r="5" spans="1:6" ht="13.9" customHeight="1" thickBot="1" x14ac:dyDescent="0.25">
      <c r="A5" s="58" t="s">
        <v>30</v>
      </c>
      <c r="B5" s="59"/>
      <c r="C5" s="59"/>
      <c r="D5" s="59"/>
      <c r="E5" s="60"/>
    </row>
    <row r="6" spans="1:6" s="1" customFormat="1" ht="45" x14ac:dyDescent="0.2">
      <c r="A6" s="44" t="s">
        <v>0</v>
      </c>
      <c r="B6" s="45"/>
      <c r="C6" s="21" t="s">
        <v>1</v>
      </c>
      <c r="D6" s="22" t="s">
        <v>26</v>
      </c>
      <c r="E6" s="22" t="s">
        <v>48</v>
      </c>
      <c r="F6" s="20"/>
    </row>
    <row r="7" spans="1:6" s="1" customFormat="1" x14ac:dyDescent="0.25">
      <c r="A7" s="46" t="s">
        <v>7</v>
      </c>
      <c r="B7" s="47"/>
      <c r="C7" s="47"/>
      <c r="D7" s="47"/>
      <c r="E7" s="48"/>
    </row>
    <row r="8" spans="1:6" s="1" customFormat="1" ht="45" x14ac:dyDescent="0.2">
      <c r="A8" s="11">
        <v>1</v>
      </c>
      <c r="B8" s="5" t="s">
        <v>17</v>
      </c>
      <c r="C8" s="6" t="s">
        <v>32</v>
      </c>
      <c r="D8" s="43" t="str">
        <f>IF(AND(ISBLANK(C8), ISBLANK(C9),ISBLANK(C10)),"",IF(OR(C8="YES",C9="YES",C10="YES",C8="UNSURE",C9="UNSURE",C10="UNSURE"),CONCATENATE("2013 - A1 - Injection",CHAR(10),"NOTE:  All inputs should be sanitized appropriately, via methods such as white listing, binding, character escaping, etc...  See Prevention methods found in A1"),""))</f>
        <v/>
      </c>
      <c r="E8" s="32"/>
    </row>
    <row r="9" spans="1:6" ht="30" x14ac:dyDescent="0.2">
      <c r="A9" s="11">
        <f>A8+1</f>
        <v>2</v>
      </c>
      <c r="B9" s="5" t="s">
        <v>18</v>
      </c>
      <c r="C9" s="6" t="s">
        <v>32</v>
      </c>
      <c r="D9" s="43"/>
      <c r="E9" s="32"/>
    </row>
    <row r="10" spans="1:6" s="1" customFormat="1" ht="25.5" x14ac:dyDescent="0.2">
      <c r="A10" s="11">
        <f>A9+1</f>
        <v>3</v>
      </c>
      <c r="B10" s="24" t="s">
        <v>19</v>
      </c>
      <c r="C10" s="6" t="s">
        <v>32</v>
      </c>
      <c r="D10" s="43"/>
      <c r="E10" s="32"/>
    </row>
    <row r="11" spans="1:6" s="1" customFormat="1" x14ac:dyDescent="0.2">
      <c r="A11" s="40" t="s">
        <v>8</v>
      </c>
      <c r="B11" s="41"/>
      <c r="C11" s="41"/>
      <c r="D11" s="41"/>
      <c r="E11" s="42"/>
    </row>
    <row r="12" spans="1:6" ht="30" x14ac:dyDescent="0.2">
      <c r="A12" s="11">
        <f>A10+1</f>
        <v>4</v>
      </c>
      <c r="B12" s="5" t="s">
        <v>55</v>
      </c>
      <c r="C12" s="6" t="s">
        <v>32</v>
      </c>
      <c r="D12" s="43" t="str">
        <f>IF(AND(ISBLANK(C12), ISBLANK(C13),ISBLANK(C14),ISBLANK(C15)),"",IF(OR(C12="YES",C12="UNSURE",C13="YES", C13="UNSURE",C14="YES", C14="UNSURE",C15="YES",C15="UNSURE"),"2013 - A2 - Broken Authentication and Session Management",""))</f>
        <v/>
      </c>
      <c r="E12" s="33"/>
    </row>
    <row r="13" spans="1:6" ht="45" x14ac:dyDescent="0.2">
      <c r="A13" s="11">
        <f>A12+1</f>
        <v>5</v>
      </c>
      <c r="B13" s="5" t="s">
        <v>50</v>
      </c>
      <c r="C13" s="6" t="s">
        <v>32</v>
      </c>
      <c r="D13" s="43"/>
      <c r="E13" s="33"/>
    </row>
    <row r="14" spans="1:6" ht="30" x14ac:dyDescent="0.2">
      <c r="A14" s="11">
        <f>A13+1</f>
        <v>6</v>
      </c>
      <c r="B14" s="5" t="s">
        <v>43</v>
      </c>
      <c r="C14" s="6" t="s">
        <v>32</v>
      </c>
      <c r="D14" s="43"/>
      <c r="E14" s="33"/>
    </row>
    <row r="15" spans="1:6" x14ac:dyDescent="0.2">
      <c r="A15" s="11">
        <f>A14+1</f>
        <v>7</v>
      </c>
      <c r="B15" s="5" t="s">
        <v>20</v>
      </c>
      <c r="C15" s="6" t="s">
        <v>32</v>
      </c>
      <c r="D15" s="25" t="str">
        <f>IF(ISBLANK(C15),"",IF(OR(C15="YES",C15="UNSURE"),"Ensure sessionID are generated using cryptographically secure random number generators (RNGs), have expiration based on inactivity, and are using unique tokens for activities involving sensitive information.",""))</f>
        <v/>
      </c>
      <c r="E15" s="33"/>
    </row>
    <row r="16" spans="1:6" x14ac:dyDescent="0.2">
      <c r="A16" s="40" t="s">
        <v>9</v>
      </c>
      <c r="B16" s="41"/>
      <c r="C16" s="41"/>
      <c r="D16" s="41"/>
      <c r="E16" s="42"/>
    </row>
    <row r="17" spans="1:5" ht="30" x14ac:dyDescent="0.2">
      <c r="A17" s="11">
        <f>A15+1</f>
        <v>8</v>
      </c>
      <c r="B17" s="5" t="s">
        <v>21</v>
      </c>
      <c r="C17" s="6" t="s">
        <v>32</v>
      </c>
      <c r="D17" s="25" t="str">
        <f>IF(ISBLANK(C17),"",IF(OR(C17="YES",C17="UNSURE"),"2013 - A3 - Cross-Site Scripting (XSS)",""))</f>
        <v/>
      </c>
      <c r="E17" s="27"/>
    </row>
    <row r="18" spans="1:5" x14ac:dyDescent="0.2">
      <c r="A18" s="40" t="s">
        <v>10</v>
      </c>
      <c r="B18" s="41"/>
      <c r="C18" s="41"/>
      <c r="D18" s="41"/>
      <c r="E18" s="42"/>
    </row>
    <row r="19" spans="1:5" ht="76.5" x14ac:dyDescent="0.2">
      <c r="A19" s="11">
        <f>A17+1</f>
        <v>9</v>
      </c>
      <c r="B19" s="5" t="s">
        <v>51</v>
      </c>
      <c r="C19" s="6" t="s">
        <v>31</v>
      </c>
      <c r="D19" s="25" t="str">
        <f>IF(ISBLANK(C19),"",IF(OR(C19="YES",C19="UNSURE"),"2013 - A4 - Insecure Direct Object References",""))</f>
        <v>2013 - A4 - Insecure Direct Object References</v>
      </c>
      <c r="E19" s="61" t="s">
        <v>60</v>
      </c>
    </row>
    <row r="20" spans="1:5" x14ac:dyDescent="0.2">
      <c r="A20" s="40" t="s">
        <v>11</v>
      </c>
      <c r="B20" s="41"/>
      <c r="C20" s="41"/>
      <c r="D20" s="41"/>
      <c r="E20" s="42"/>
    </row>
    <row r="21" spans="1:5" ht="45" x14ac:dyDescent="0.2">
      <c r="A21" s="11">
        <f>A19+1</f>
        <v>10</v>
      </c>
      <c r="B21" s="5" t="s">
        <v>44</v>
      </c>
      <c r="C21" s="6" t="s">
        <v>32</v>
      </c>
      <c r="D21" s="43" t="str">
        <f>IF(AND(ISBLANK(C21), ISBLANK(C22),ISBLANK(C23),ISBLANK(C24),ISBLANK(C25)),"",IF(OR(C21="YES",C21="UNSURE",C22="YES",C22="UNSURE",C23="YES",C23="UNSURE",C24="YES",C24="UNSURE",C25="YES",C25="UNSURE"),"2013 - A5 - Security Misconfiguration",""))</f>
        <v/>
      </c>
      <c r="E21" s="34"/>
    </row>
    <row r="22" spans="1:5" ht="45" x14ac:dyDescent="0.2">
      <c r="A22" s="11">
        <f>A21+1</f>
        <v>11</v>
      </c>
      <c r="B22" s="5" t="s">
        <v>45</v>
      </c>
      <c r="C22" s="6" t="s">
        <v>32</v>
      </c>
      <c r="D22" s="43"/>
      <c r="E22" s="35"/>
    </row>
    <row r="23" spans="1:5" ht="30" x14ac:dyDescent="0.2">
      <c r="A23" s="11">
        <f>A22+1</f>
        <v>12</v>
      </c>
      <c r="B23" s="5" t="s">
        <v>46</v>
      </c>
      <c r="C23" s="6" t="s">
        <v>32</v>
      </c>
      <c r="D23" s="43"/>
      <c r="E23" s="35"/>
    </row>
    <row r="24" spans="1:5" ht="30" x14ac:dyDescent="0.2">
      <c r="A24" s="11">
        <f>A23+1</f>
        <v>13</v>
      </c>
      <c r="B24" s="5" t="s">
        <v>22</v>
      </c>
      <c r="C24" s="6" t="s">
        <v>32</v>
      </c>
      <c r="D24" s="43"/>
      <c r="E24" s="35"/>
    </row>
    <row r="25" spans="1:5" ht="45" x14ac:dyDescent="0.2">
      <c r="A25" s="11">
        <f>A24+1</f>
        <v>14</v>
      </c>
      <c r="B25" s="9" t="s">
        <v>52</v>
      </c>
      <c r="C25" s="6" t="s">
        <v>32</v>
      </c>
      <c r="D25" s="43"/>
      <c r="E25" s="35"/>
    </row>
    <row r="26" spans="1:5" ht="45" customHeight="1" x14ac:dyDescent="0.2">
      <c r="A26" s="11">
        <v>15</v>
      </c>
      <c r="B26" s="9" t="s">
        <v>27</v>
      </c>
      <c r="C26" s="6" t="s">
        <v>32</v>
      </c>
      <c r="D26" s="25" t="str">
        <f>IF(ISBLANK(C26),"",IF(OR(C26="YES",C26="UNSURE"),"Ensure debugging in production code is disabled to protect against the data leakage.",""))</f>
        <v/>
      </c>
      <c r="E26" s="36"/>
    </row>
    <row r="27" spans="1:5" x14ac:dyDescent="0.2">
      <c r="A27" s="40" t="s">
        <v>12</v>
      </c>
      <c r="B27" s="41"/>
      <c r="C27" s="41"/>
      <c r="D27" s="41"/>
      <c r="E27" s="42"/>
    </row>
    <row r="28" spans="1:5" ht="46.15" customHeight="1" x14ac:dyDescent="0.2">
      <c r="A28" s="11">
        <v>16</v>
      </c>
      <c r="B28" s="5" t="s">
        <v>23</v>
      </c>
      <c r="C28" s="6" t="s">
        <v>32</v>
      </c>
      <c r="D28" s="43" t="str">
        <f>IF(AND(ISBLANK(C28), ISBLANK(C29),ISBLANK(C30)),"",IF(OR(C28="YES",C28="UNSURE",C29="YES",C29="UNSURE",C30="YES",C30="UNSURE"),"2013 - A6 - Sensitive Data Exposure",""))</f>
        <v/>
      </c>
      <c r="E28" s="37"/>
    </row>
    <row r="29" spans="1:5" ht="45" x14ac:dyDescent="0.2">
      <c r="A29" s="11">
        <f>A28+1</f>
        <v>17</v>
      </c>
      <c r="B29" s="5" t="s">
        <v>24</v>
      </c>
      <c r="C29" s="6" t="s">
        <v>32</v>
      </c>
      <c r="D29" s="43"/>
      <c r="E29" s="38"/>
    </row>
    <row r="30" spans="1:5" ht="30" x14ac:dyDescent="0.2">
      <c r="A30" s="11">
        <v>18</v>
      </c>
      <c r="B30" s="5" t="s">
        <v>28</v>
      </c>
      <c r="C30" s="6" t="s">
        <v>32</v>
      </c>
      <c r="D30" s="25" t="str">
        <f>IF(ISBLANK(C30),"",IF(OR(C30="YES",C30="UNSURE"),"Ensure proper handling of exceptions/error handling to prevent information leakage.",""))</f>
        <v/>
      </c>
      <c r="E30" s="39"/>
    </row>
    <row r="31" spans="1:5" x14ac:dyDescent="0.2">
      <c r="A31" s="40" t="s">
        <v>13</v>
      </c>
      <c r="B31" s="41"/>
      <c r="C31" s="41"/>
      <c r="D31" s="41"/>
      <c r="E31" s="42"/>
    </row>
    <row r="32" spans="1:5" ht="38.25" x14ac:dyDescent="0.2">
      <c r="A32" s="11">
        <v>19</v>
      </c>
      <c r="B32" s="5" t="s">
        <v>47</v>
      </c>
      <c r="C32" s="6" t="s">
        <v>31</v>
      </c>
      <c r="D32" s="25" t="s">
        <v>13</v>
      </c>
      <c r="E32" s="28" t="s">
        <v>59</v>
      </c>
    </row>
    <row r="33" spans="1:5" x14ac:dyDescent="0.2">
      <c r="A33" s="40" t="s">
        <v>14</v>
      </c>
      <c r="B33" s="41"/>
      <c r="C33" s="41"/>
      <c r="D33" s="41"/>
      <c r="E33" s="42"/>
    </row>
    <row r="34" spans="1:5" ht="89.25" x14ac:dyDescent="0.2">
      <c r="A34" s="11">
        <v>20</v>
      </c>
      <c r="B34" s="19" t="s">
        <v>53</v>
      </c>
      <c r="C34" s="6" t="s">
        <v>31</v>
      </c>
      <c r="D34" s="43" t="str">
        <f>IF(AND(ISBLANK(C34),ISBLANK(C35)),"",IF(OR(C34="YES",C34="UNSURE",C35="YES",C35="UNSURE"),"2013 - A8 - Cross-Site Request Forgery (CSRF)",""))</f>
        <v>2013 - A8 - Cross-Site Request Forgery (CSRF)</v>
      </c>
      <c r="E34" s="28" t="s">
        <v>62</v>
      </c>
    </row>
    <row r="35" spans="1:5" ht="25.5" x14ac:dyDescent="0.2">
      <c r="A35" s="11">
        <v>21</v>
      </c>
      <c r="B35" s="10" t="s">
        <v>54</v>
      </c>
      <c r="C35" s="6" t="s">
        <v>31</v>
      </c>
      <c r="D35" s="43"/>
      <c r="E35" s="28"/>
    </row>
    <row r="36" spans="1:5" x14ac:dyDescent="0.2">
      <c r="A36" s="40" t="s">
        <v>15</v>
      </c>
      <c r="B36" s="41"/>
      <c r="C36" s="41"/>
      <c r="D36" s="41"/>
      <c r="E36" s="42"/>
    </row>
    <row r="37" spans="1:5" ht="115.5" x14ac:dyDescent="0.25">
      <c r="A37" s="11">
        <v>22</v>
      </c>
      <c r="B37" s="26" t="s">
        <v>29</v>
      </c>
      <c r="C37" s="6" t="s">
        <v>31</v>
      </c>
      <c r="D37" s="25" t="str">
        <f>IF(ISBLANK(C37),"",IF(OR(C37="YES",C37="UNSURE"),"2013 - A9 - Using Components with Known Vulnerabilities","TSS Standards and Scanning / Remediation Programs already cover this issue."))</f>
        <v>2013 - A9 - Using Components with Known Vulnerabilities</v>
      </c>
      <c r="E37" s="28" t="s">
        <v>61</v>
      </c>
    </row>
    <row r="38" spans="1:5" x14ac:dyDescent="0.2">
      <c r="A38" s="40" t="s">
        <v>16</v>
      </c>
      <c r="B38" s="41"/>
      <c r="C38" s="41"/>
      <c r="D38" s="41"/>
      <c r="E38" s="42"/>
    </row>
    <row r="39" spans="1:5" ht="30" x14ac:dyDescent="0.2">
      <c r="A39" s="11">
        <v>23</v>
      </c>
      <c r="B39" s="5" t="s">
        <v>25</v>
      </c>
      <c r="C39" s="6" t="s">
        <v>32</v>
      </c>
      <c r="D39" s="25" t="str">
        <f>IF(ISBLANK(C39),"",IF(OR(C39="YES",C39="UNSURE"),"2013 - A10 - Unvalidated Redirects and Forwards",""))</f>
        <v/>
      </c>
      <c r="E39" s="23"/>
    </row>
    <row r="40" spans="1:5" ht="37.15" customHeight="1" thickBot="1" x14ac:dyDescent="0.35">
      <c r="A40" s="29" t="s">
        <v>42</v>
      </c>
      <c r="B40" s="30"/>
      <c r="C40" s="30"/>
      <c r="D40" s="30"/>
      <c r="E40" s="31"/>
    </row>
  </sheetData>
  <protectedRanges>
    <protectedRange sqref="E8:E10 E12:E15 E17 E19 E21:E26 E28:E30 E32 E34:E35 E37 E37 E39" name="Range2"/>
    <protectedRange sqref="C8:C10 C12:C15 C17 C19 C21:C26 C28:C30 C32 C34:C35 C37 C39" name="Range1"/>
  </protectedRanges>
  <mergeCells count="26">
    <mergeCell ref="A1:E1"/>
    <mergeCell ref="A2:E2"/>
    <mergeCell ref="A3:E3"/>
    <mergeCell ref="A4:E4"/>
    <mergeCell ref="A5:E5"/>
    <mergeCell ref="A11:E11"/>
    <mergeCell ref="A16:E16"/>
    <mergeCell ref="A18:E18"/>
    <mergeCell ref="A20:E20"/>
    <mergeCell ref="A6:B6"/>
    <mergeCell ref="A7:E7"/>
    <mergeCell ref="A40:E40"/>
    <mergeCell ref="E8:E10"/>
    <mergeCell ref="E12:E15"/>
    <mergeCell ref="E21:E26"/>
    <mergeCell ref="E28:E30"/>
    <mergeCell ref="A27:E27"/>
    <mergeCell ref="A31:E31"/>
    <mergeCell ref="A33:E33"/>
    <mergeCell ref="A36:E36"/>
    <mergeCell ref="A38:E38"/>
    <mergeCell ref="D8:D10"/>
    <mergeCell ref="D21:D25"/>
    <mergeCell ref="D28:D29"/>
    <mergeCell ref="D12:D14"/>
    <mergeCell ref="D34:D35"/>
  </mergeCells>
  <dataValidations count="1">
    <dataValidation type="list" allowBlank="1" showInputMessage="1" showErrorMessage="1" sqref="C8:C10 C12:C15 C17 C19 C21:C26 C28:C30 C32 C34:C35 C37 C39">
      <formula1>RESPONSE</formula1>
    </dataValidation>
  </dataValidations>
  <hyperlinks>
    <hyperlink ref="A5:D5" r:id="rId1" display="Download OWASP Top 10 (PDF version)"/>
  </hyperlinks>
  <printOptions horizontalCentered="1" verticalCentered="1"/>
  <pageMargins left="0.25" right="0.25" top="0.25" bottom="0.75" header="0.3" footer="0.3"/>
  <pageSetup orientation="landscape" r:id="rId2"/>
  <headerFooter alignWithMargins="0">
    <oddFooter xml:space="preserve">&amp;C&amp;"Arial,Bold"AT&amp;&amp;T Proprietary (Restricted)
Only for use by authorized individuals or any above-designated team(s) within the AT&amp;&amp;T companies and not for general distribution </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Reset_Checklist">
                <anchor moveWithCells="1" sizeWithCells="1">
                  <from>
                    <xdr:col>1</xdr:col>
                    <xdr:colOff>0</xdr:colOff>
                    <xdr:row>3</xdr:row>
                    <xdr:rowOff>76200</xdr:rowOff>
                  </from>
                  <to>
                    <xdr:col>4</xdr:col>
                    <xdr:colOff>1971675</xdr:colOff>
                    <xdr:row>3</xdr:row>
                    <xdr:rowOff>323850</xdr:rowOff>
                  </to>
                </anchor>
              </controlPr>
            </control>
          </mc:Choice>
        </mc:AlternateContent>
        <mc:AlternateContent xmlns:mc="http://schemas.openxmlformats.org/markup-compatibility/2006">
          <mc:Choice Requires="x14">
            <control shapeId="1030" r:id="rId6" name="Button 6">
              <controlPr defaultSize="0" print="0" autoFill="0" autoPict="0" macro="[0]!Update_User_Application_Info">
                <anchor moveWithCells="1" sizeWithCells="1">
                  <from>
                    <xdr:col>1</xdr:col>
                    <xdr:colOff>4933950</xdr:colOff>
                    <xdr:row>2</xdr:row>
                    <xdr:rowOff>152400</xdr:rowOff>
                  </from>
                  <to>
                    <xdr:col>4</xdr:col>
                    <xdr:colOff>1971675</xdr:colOff>
                    <xdr:row>2</xdr:row>
                    <xdr:rowOff>590550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4"/>
  <sheetViews>
    <sheetView workbookViewId="0">
      <selection sqref="A1:C4"/>
    </sheetView>
  </sheetViews>
  <sheetFormatPr defaultRowHeight="12.75" x14ac:dyDescent="0.2"/>
  <cols>
    <col min="1" max="1" width="19.7109375" bestFit="1" customWidth="1"/>
    <col min="2" max="2" width="37" customWidth="1"/>
    <col min="3" max="3" width="15.5703125" bestFit="1" customWidth="1"/>
  </cols>
  <sheetData>
    <row r="1" spans="1:3" ht="15" x14ac:dyDescent="0.2">
      <c r="A1" s="14" t="s">
        <v>36</v>
      </c>
      <c r="B1" s="14" t="s">
        <v>35</v>
      </c>
      <c r="C1" s="14" t="s">
        <v>40</v>
      </c>
    </row>
    <row r="2" spans="1:3" x14ac:dyDescent="0.2">
      <c r="A2" s="16" t="s">
        <v>57</v>
      </c>
      <c r="B2" s="16" t="s">
        <v>58</v>
      </c>
      <c r="C2" s="17">
        <v>42031</v>
      </c>
    </row>
    <row r="3" spans="1:3" ht="15" x14ac:dyDescent="0.2">
      <c r="A3" s="15" t="s">
        <v>37</v>
      </c>
      <c r="B3" s="14" t="s">
        <v>38</v>
      </c>
      <c r="C3" s="14" t="s">
        <v>39</v>
      </c>
    </row>
    <row r="4" spans="1:3" x14ac:dyDescent="0.2">
      <c r="A4" s="18">
        <v>18257</v>
      </c>
      <c r="B4" s="16" t="s">
        <v>56</v>
      </c>
      <c r="C4" s="17">
        <v>42058</v>
      </c>
    </row>
  </sheetData>
  <dataValidations disablePrompts="1" count="1">
    <dataValidation type="date" allowBlank="1" showInputMessage="1" showErrorMessage="1" sqref="C2 C4">
      <formula1>41759</formula1>
      <formula2>45777</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4"/>
  <sheetViews>
    <sheetView workbookViewId="0"/>
  </sheetViews>
  <sheetFormatPr defaultRowHeight="12.75" x14ac:dyDescent="0.2"/>
  <sheetData>
    <row r="1" spans="1:1" x14ac:dyDescent="0.2">
      <c r="A1" s="13" t="s">
        <v>34</v>
      </c>
    </row>
    <row r="2" spans="1:1" x14ac:dyDescent="0.2">
      <c r="A2" s="12" t="s">
        <v>31</v>
      </c>
    </row>
    <row r="3" spans="1:1" x14ac:dyDescent="0.2">
      <c r="A3" s="12" t="s">
        <v>32</v>
      </c>
    </row>
    <row r="4" spans="1:1" x14ac:dyDescent="0.2">
      <c r="A4" s="12" t="s">
        <v>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5"/>
  <sheetViews>
    <sheetView workbookViewId="0">
      <selection activeCell="A2" sqref="A2:A5"/>
    </sheetView>
  </sheetViews>
  <sheetFormatPr defaultColWidth="9.140625" defaultRowHeight="15" x14ac:dyDescent="0.25"/>
  <cols>
    <col min="1" max="1" width="46.5703125" style="7" bestFit="1" customWidth="1"/>
    <col min="2" max="16384" width="9.140625" style="7"/>
  </cols>
  <sheetData>
    <row r="1" spans="1:1" x14ac:dyDescent="0.25">
      <c r="A1" s="7" t="s">
        <v>6</v>
      </c>
    </row>
    <row r="2" spans="1:1" x14ac:dyDescent="0.25">
      <c r="A2" s="7" t="s">
        <v>2</v>
      </c>
    </row>
    <row r="3" spans="1:1" x14ac:dyDescent="0.25">
      <c r="A3" s="7" t="s">
        <v>3</v>
      </c>
    </row>
    <row r="4" spans="1:1" x14ac:dyDescent="0.25">
      <c r="A4" s="7" t="s">
        <v>4</v>
      </c>
    </row>
    <row r="5" spans="1:1" x14ac:dyDescent="0.25">
      <c r="A5" s="7" t="s">
        <v>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9B72ACFBC3CA847A28EA4C5BB7DE802" ma:contentTypeVersion="0" ma:contentTypeDescription="Create a new document." ma:contentTypeScope="" ma:versionID="a51725f5ddab55a251e0d35732e3558b">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90571EA-07E8-4F9A-B301-287B4E6B8017}">
  <ds:schemaRefs>
    <ds:schemaRef ds:uri="http://schemas.microsoft.com/sharepoint/v3/contenttype/forms"/>
  </ds:schemaRefs>
</ds:datastoreItem>
</file>

<file path=customXml/itemProps2.xml><?xml version="1.0" encoding="utf-8"?>
<ds:datastoreItem xmlns:ds="http://schemas.openxmlformats.org/officeDocument/2006/customXml" ds:itemID="{14782431-6BE4-4E9E-B654-E43DF18C81F3}">
  <ds:schemaRefs>
    <ds:schemaRef ds:uri="http://purl.org/dc/dcmitype/"/>
    <ds:schemaRef ds:uri="http://purl.org/dc/elements/1.1/"/>
    <ds:schemaRef ds:uri="http://schemas.microsoft.com/office/2006/metadata/properties"/>
    <ds:schemaRef ds:uri="http://schemas.openxmlformats.org/package/2006/metadata/core-properties"/>
    <ds:schemaRef ds:uri="http://schemas.microsoft.com/office/2006/documentManagement/types"/>
    <ds:schemaRef ds:uri="http://www.w3.org/XML/1998/namespace"/>
    <ds:schemaRef ds:uri="http://purl.org/dc/terms/"/>
  </ds:schemaRefs>
</ds:datastoreItem>
</file>

<file path=customXml/itemProps3.xml><?xml version="1.0" encoding="utf-8"?>
<ds:datastoreItem xmlns:ds="http://schemas.openxmlformats.org/officeDocument/2006/customXml" ds:itemID="{89EA46A0-A28F-4DED-942A-F812BAE42A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Checklist</vt:lpstr>
      <vt:lpstr>frmMetaData</vt:lpstr>
      <vt:lpstr>.</vt:lpstr>
      <vt:lpstr>Sheet3</vt:lpstr>
      <vt:lpstr>ClassificationList</vt:lpstr>
      <vt:lpstr>RESPONSE</vt:lpstr>
    </vt:vector>
  </TitlesOfParts>
  <Company>AT&amp;T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Milliken</dc:creator>
  <cp:lastModifiedBy>CDT User</cp:lastModifiedBy>
  <cp:lastPrinted>2014-05-13T00:40:07Z</cp:lastPrinted>
  <dcterms:created xsi:type="dcterms:W3CDTF">2007-09-28T16:53:15Z</dcterms:created>
  <dcterms:modified xsi:type="dcterms:W3CDTF">2015-01-27T18:31:21Z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0x010100E9B72ACFBC3CA847A28EA4C5BB7DE802</vt:lpwstr>
  </property>
</Properties>
</file>