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un\1507\270938e\SR\"/>
    </mc:Choice>
  </mc:AlternateContent>
  <workbookProtection lockStructure="1"/>
  <bookViews>
    <workbookView xWindow="480" yWindow="30" windowWidth="11355" windowHeight="9210"/>
  </bookViews>
  <sheets>
    <sheet name="Checklist" sheetId="8" r:id="rId1"/>
    <sheet name="frmMetaData" sheetId="15" state="hidden" r:id="rId2"/>
    <sheet name="." sheetId="14" state="hidden" r:id="rId3"/>
    <sheet name="Sheet3" sheetId="13" state="hidden" r:id="rId4"/>
  </sheets>
  <definedNames>
    <definedName name="AuthenticationEvents">#REF!</definedName>
    <definedName name="ClassificationList">Sheet3!$A$2:$A$5</definedName>
    <definedName name="Events">#REF!</definedName>
    <definedName name="RESPONSE">'.'!$A$1:$A$4</definedName>
  </definedNames>
  <calcPr calcId="152511"/>
</workbook>
</file>

<file path=xl/calcChain.xml><?xml version="1.0" encoding="utf-8"?>
<calcChain xmlns="http://schemas.openxmlformats.org/spreadsheetml/2006/main">
  <c r="D12" i="8" l="1"/>
  <c r="D39" i="8" l="1"/>
  <c r="D37" i="8"/>
  <c r="D34" i="8"/>
  <c r="D30" i="8"/>
  <c r="D28" i="8"/>
  <c r="D26" i="8"/>
  <c r="D21" i="8"/>
  <c r="D19" i="8"/>
  <c r="D17" i="8"/>
  <c r="D15" i="8"/>
  <c r="D8" i="8"/>
  <c r="A29" i="8" l="1"/>
  <c r="A9" i="8"/>
  <c r="A10" i="8" s="1"/>
  <c r="A12" i="8" s="1"/>
  <c r="A13" i="8" s="1"/>
  <c r="A14" i="8" s="1"/>
  <c r="A15" i="8" s="1"/>
  <c r="A17" i="8" s="1"/>
  <c r="A19" i="8" l="1"/>
  <c r="A21" i="8" s="1"/>
  <c r="A22" i="8" s="1"/>
  <c r="A23" i="8" s="1"/>
  <c r="A24" i="8" s="1"/>
  <c r="A25" i="8" s="1"/>
</calcChain>
</file>

<file path=xl/sharedStrings.xml><?xml version="1.0" encoding="utf-8"?>
<sst xmlns="http://schemas.openxmlformats.org/spreadsheetml/2006/main" count="90" uniqueCount="66">
  <si>
    <t>Checklist Question</t>
  </si>
  <si>
    <t>Checklist Response</t>
  </si>
  <si>
    <t>AT&amp;T Proprietary (Internal Use Only)</t>
  </si>
  <si>
    <t>AT&amp;T Proprietary (Restricted)</t>
  </si>
  <si>
    <t>AT&amp;T Proprietary (Secure Restricted)</t>
  </si>
  <si>
    <t>AT&amp;T Proprietary (Sensitive Personal Information)</t>
  </si>
  <si>
    <t>Classifications</t>
  </si>
  <si>
    <t>2013 - A1 - Injection</t>
  </si>
  <si>
    <t>2013 - A2 - Broken Authentication and Session Management</t>
  </si>
  <si>
    <t>2013 - A3 - Cross-Site Scripting (XSS)</t>
  </si>
  <si>
    <t>2013 - A4 - Insecure Direct Object References</t>
  </si>
  <si>
    <t>2013 - A5 - Security Misconfiguration</t>
  </si>
  <si>
    <t>2013 - A6 - Sensitive Data Exposure</t>
  </si>
  <si>
    <t>2013 - A7 - Missing Function Level Access Control</t>
  </si>
  <si>
    <t>2013 - A8 - Cross-Site Request Forgery (CSRF)</t>
  </si>
  <si>
    <t>2013 - A9 - Using Components with Known Vulnerabilities</t>
  </si>
  <si>
    <t>2013 - A10 - Unvalidated Redirects and Forwards</t>
  </si>
  <si>
    <t>Does the change involve modifying or adding user supplied input fields, e.g. untrusted data, (either via a new or existing UI screen) that will be later interpreted by a command or query?</t>
  </si>
  <si>
    <t>Does the change involve modifying or adding code for parameters being passed via the URL to be later interpreted by a command or query?</t>
  </si>
  <si>
    <t>Does the change involve modifying or adding logic that validates untrusted data, e.g. user supplied input fields or URL parameters, etc…?</t>
  </si>
  <si>
    <t>Does the change involve modifying or adding code associated with SessionIDs?</t>
  </si>
  <si>
    <t>Does the change involve modifying or adding code associated with user supplied input that will later be included in an output page?</t>
  </si>
  <si>
    <t>Does your error handling reveal stack traces or other overly informative error messages to users?</t>
  </si>
  <si>
    <t>Does the change involve modifying or adding code associated with sensitive data, e.g. SPI, PCI, SOX, AT&amp;T Proprietary (Secure Restricted), etc…?</t>
  </si>
  <si>
    <t>Does the change involve modifying or adding code associated with cryptographic algorithms or keys, e.g. Voltage or other third party algorithms, etc...?</t>
  </si>
  <si>
    <t>Does the change involve the modifying or adding code associated with the use of a URL redirect or forward (called "transfer" in .NET) to another destination?</t>
  </si>
  <si>
    <t>Review with Development Team must include:</t>
  </si>
  <si>
    <t>Does production code contain any debugging functionality that is enabled?</t>
  </si>
  <si>
    <t>Does the change involve exceptions/error handling associated with senstive data which is written to a debug/application log or displayed to the user?</t>
  </si>
  <si>
    <t>Does the change involve components (including but not limited to open source software components  or 3rd party libraries) where versions/updates are managed outside the TSS process?</t>
  </si>
  <si>
    <t>Download OWASP Top 10 (PDF version)</t>
  </si>
  <si>
    <t>YES</t>
  </si>
  <si>
    <t>NO</t>
  </si>
  <si>
    <t>UNSURE</t>
  </si>
  <si>
    <t/>
  </si>
  <si>
    <t>Reviewer Name:</t>
  </si>
  <si>
    <t>Reviewer ATTUID:</t>
  </si>
  <si>
    <t>Application MOTS ID:</t>
  </si>
  <si>
    <t>Application Name:</t>
  </si>
  <si>
    <t>Release M9 Date:</t>
  </si>
  <si>
    <t>Document Date:</t>
  </si>
  <si>
    <t>Common Web Security Assessment Checklist</t>
  </si>
  <si>
    <r>
      <rPr>
        <b/>
        <sz val="12"/>
        <color theme="3"/>
        <rFont val="Calibri"/>
        <family val="2"/>
        <scheme val="minor"/>
      </rPr>
      <t>AT&amp;T Proprietary (Restricted)</t>
    </r>
    <r>
      <rPr>
        <b/>
        <sz val="15"/>
        <color theme="3"/>
        <rFont val="Calibri"/>
        <family val="2"/>
        <scheme val="minor"/>
      </rPr>
      <t xml:space="preserve">
</t>
    </r>
    <r>
      <rPr>
        <b/>
        <sz val="12"/>
        <color theme="3"/>
        <rFont val="Calibri"/>
        <family val="2"/>
        <scheme val="minor"/>
      </rPr>
      <t>Only for use by authorized individuals or any above-designated team(s) within the AT&amp;&amp;T companies and not for general distribution</t>
    </r>
  </si>
  <si>
    <t>Is your application missing any of the following: authentication, authorization and session management?</t>
  </si>
  <si>
    <t>Is any of the application software out of date, e.g. not compliant with AT&amp;T TSS Standards? This includes the Web/App Server, DBMS, application controlled third party software, and code libraries</t>
  </si>
  <si>
    <t>Are any unnecessary features controlled by the application team enabled or installed? This may include but not limited to ports, services, pages, accounts, privileges.</t>
  </si>
  <si>
    <t>Are default accounts and their passwords controlled by the application team still enabled and unchanged?</t>
  </si>
  <si>
    <t>Function level access controls are critcal to ensuring least privilege.  Therefore, this item should always be reviewed with any changes.</t>
  </si>
  <si>
    <t>Development Team Notes/Comments</t>
  </si>
  <si>
    <r>
      <t xml:space="preserve">This checklist is to aid application teams in identifing Open Web Application Security Project (OWASP) Top 10 areas of concerns during coding.
</t>
    </r>
    <r>
      <rPr>
        <b/>
        <sz val="11"/>
        <rFont val="Calibri"/>
        <family val="2"/>
        <scheme val="minor"/>
      </rPr>
      <t>How to use this checklist?</t>
    </r>
    <r>
      <rPr>
        <sz val="11"/>
        <rFont val="Calibri"/>
        <family val="2"/>
        <scheme val="minor"/>
      </rPr>
      <t xml:space="preserve">
Click the "Reset Checklist" to begin a new assessment.
Reponse to each checklist question with a "YES", "NO", or "UNSURE".
</t>
    </r>
    <r>
      <rPr>
        <b/>
        <sz val="11"/>
        <rFont val="Calibri"/>
        <family val="2"/>
        <scheme val="minor"/>
      </rPr>
      <t>NOTE:</t>
    </r>
    <r>
      <rPr>
        <sz val="11"/>
        <rFont val="Calibri"/>
        <family val="2"/>
        <scheme val="minor"/>
      </rPr>
      <t xml:space="preserve"> "UNSURE" may be used if you don't understand the question or if you are not sure if the answer is "YES" or "NO".
After completing Checklist download a copy of the OWASP Top 10 (link provided below).
Review applicable section of the OWASP Top 10 with development team</t>
    </r>
  </si>
  <si>
    <t>Does the change involve modifying or adding code associated with account management functions  (e.g., account creation, change password, recover password) via the web?</t>
  </si>
  <si>
    <t>Does the change involve modifying or adding code that references a system object either directly or indirectly?  (Examples of system objects include but are not limited to files, directories, or database objects.)</t>
  </si>
  <si>
    <t>Are the security settings in your development frameworks (e.g., Struts, Spring, ASP.NET) and libraries not set to secure values?
Hint: If you are unsure of the settings for your framework, mark "UNSURE".</t>
  </si>
  <si>
    <t>Does the change involve the modifying or adding code associated with the processing of a HTTP requests?</t>
  </si>
  <si>
    <t>Does the change involve the modifying or adding of code associated with the processing of a URL parameter as part of an HTTP response?</t>
  </si>
  <si>
    <t>Does the change involve modifying or adding code associated with web credential authentication?</t>
  </si>
  <si>
    <t>Review Meeting Date:</t>
  </si>
  <si>
    <t>pk5958</t>
  </si>
  <si>
    <t>Pavan Kandi</t>
  </si>
  <si>
    <t>OPUS / OM</t>
  </si>
  <si>
    <t xml:space="preserve">[am6489] We have couple of new store configurables and new enterprise configurables/updates to existing enterprise configurables. There are also DAO changes/Bean/Remote java class changes all adhere to standards. </t>
  </si>
  <si>
    <t>[am6489] User inputs are sent to yoda and yoda will send response and it will be fetched and displayed in the UI</t>
  </si>
  <si>
    <t>[am6489] credit card swipe using existing centralized code/library and passing the details to CSI is implemented. No Credit Card information is logged in logs.</t>
  </si>
  <si>
    <t>[am6489] No Changes in the User Access Permissions</t>
  </si>
  <si>
    <t>[am6489] The change involves working with ingenico api which is already included into opus code base. We are  adding yoda/csi/atlas jars (given by their team) and not adding additional jars/creating any other new api. No New forms are developed and loaded to the device (BAU process), form interaction happens via ingenico api (BAU process). No TSS Exception is needed.</t>
  </si>
  <si>
    <t xml:space="preserve">[am6489] We are taking inputs and performed validations on length, type, range and format as needed for the project.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</si>
</sst>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i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theme="10"/>
      <name val="Arial"/>
      <family val="2"/>
    </font>
    <font>
      <b/>
      <sz val="11"/>
      <name val="Calibri"/>
      <family val="2"/>
    </font>
    <font>
      <b/>
      <sz val="12"/>
      <color theme="3"/>
      <name val="Calibri"/>
      <family val="2"/>
      <scheme val="minor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8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6" fillId="0" borderId="1" xfId="0" applyFont="1" applyFill="1" applyBorder="1" applyAlignment="1">
      <alignment wrapText="1"/>
    </xf>
    <xf numFmtId="0" fontId="3" fillId="0" borderId="3" xfId="0" applyFont="1" applyBorder="1" applyAlignment="1">
      <alignment horizontal="center" vertical="center"/>
    </xf>
    <xf numFmtId="0" fontId="6" fillId="0" borderId="0" xfId="0" applyFont="1"/>
    <xf numFmtId="0" fontId="6" fillId="0" borderId="0" xfId="0" quotePrefix="1" applyFont="1"/>
    <xf numFmtId="0" fontId="11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6" fillId="0" borderId="1" xfId="0" applyFont="1" applyBorder="1" applyAlignment="1">
      <alignment wrapText="1"/>
    </xf>
    <xf numFmtId="0" fontId="1" fillId="0" borderId="0" xfId="0" applyFont="1" applyAlignment="1">
      <alignment horizontal="center"/>
    </xf>
    <xf numFmtId="0" fontId="9" fillId="2" borderId="12" xfId="2" applyFill="1" applyBorder="1" applyAlignment="1">
      <alignment horizontal="center" vertical="center" wrapText="1"/>
    </xf>
    <xf numFmtId="0" fontId="9" fillId="2" borderId="13" xfId="2" applyFill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wrapText="1"/>
    </xf>
    <xf numFmtId="0" fontId="2" fillId="0" borderId="4" xfId="0" applyFont="1" applyBorder="1"/>
    <xf numFmtId="14" fontId="0" fillId="0" borderId="0" xfId="0" applyNumberFormat="1"/>
    <xf numFmtId="2" fontId="2" fillId="0" borderId="4" xfId="0" applyNumberFormat="1" applyFont="1" applyBorder="1" applyAlignment="1" applyProtection="1">
      <alignment wrapText="1"/>
    </xf>
    <xf numFmtId="0" fontId="2" fillId="0" borderId="4" xfId="0" applyFont="1" applyBorder="1" applyAlignment="1" applyProtection="1">
      <alignment wrapText="1"/>
    </xf>
    <xf numFmtId="0" fontId="8" fillId="4" borderId="17" xfId="1" applyFill="1" applyBorder="1" applyAlignment="1">
      <alignment horizontal="center"/>
    </xf>
    <xf numFmtId="0" fontId="8" fillId="4" borderId="18" xfId="1" applyFill="1" applyBorder="1" applyAlignment="1">
      <alignment horizontal="center"/>
    </xf>
    <xf numFmtId="0" fontId="8" fillId="4" borderId="19" xfId="1" applyFill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10" fillId="0" borderId="9" xfId="3" applyBorder="1" applyAlignment="1">
      <alignment horizontal="center" vertical="center" wrapText="1"/>
    </xf>
    <xf numFmtId="0" fontId="10" fillId="0" borderId="0" xfId="3" applyBorder="1" applyAlignment="1">
      <alignment horizontal="center" vertical="center" wrapText="1"/>
    </xf>
    <xf numFmtId="0" fontId="10" fillId="0" borderId="8" xfId="3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9" fillId="2" borderId="10" xfId="2" applyFill="1" applyBorder="1" applyAlignment="1">
      <alignment horizontal="center" vertical="center" wrapText="1"/>
    </xf>
    <xf numFmtId="0" fontId="9" fillId="2" borderId="11" xfId="2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8" fillId="4" borderId="14" xfId="1" applyFill="1" applyBorder="1" applyAlignment="1">
      <alignment horizontal="center" wrapText="1"/>
    </xf>
    <xf numFmtId="0" fontId="8" fillId="4" borderId="15" xfId="1" applyFill="1" applyBorder="1" applyAlignment="1">
      <alignment horizontal="center" wrapText="1"/>
    </xf>
    <xf numFmtId="0" fontId="8" fillId="4" borderId="16" xfId="1" applyFill="1" applyBorder="1" applyAlignment="1">
      <alignment horizontal="center" wrapText="1"/>
    </xf>
    <xf numFmtId="0" fontId="3" fillId="0" borderId="1" xfId="0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 applyAlignment="1" applyProtection="1">
      <alignment horizontal="center" wrapText="1"/>
    </xf>
    <xf numFmtId="0" fontId="2" fillId="0" borderId="6" xfId="0" applyFont="1" applyBorder="1" applyAlignment="1" applyProtection="1">
      <alignment horizontal="center" wrapText="1"/>
    </xf>
    <xf numFmtId="0" fontId="2" fillId="0" borderId="7" xfId="0" applyFont="1" applyBorder="1" applyAlignment="1" applyProtection="1">
      <alignment horizontal="center" wrapText="1"/>
    </xf>
    <xf numFmtId="0" fontId="3" fillId="0" borderId="1" xfId="0" applyFont="1" applyBorder="1" applyAlignment="1">
      <alignment horizontal="center" vertical="center" wrapText="1"/>
    </xf>
  </cellXfs>
  <cellStyles count="4">
    <cellStyle name="Heading 1" xfId="1" builtinId="16"/>
    <cellStyle name="Heading 4" xfId="2" builtinId="19"/>
    <cellStyle name="Hyperlink" xfId="3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76200</xdr:rowOff>
        </xdr:from>
        <xdr:to>
          <xdr:col>4</xdr:col>
          <xdr:colOff>1971675</xdr:colOff>
          <xdr:row>3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4933950</xdr:colOff>
          <xdr:row>2</xdr:row>
          <xdr:rowOff>152400</xdr:rowOff>
        </xdr:from>
        <xdr:to>
          <xdr:col>4</xdr:col>
          <xdr:colOff>1971675</xdr:colOff>
          <xdr:row>2</xdr:row>
          <xdr:rowOff>590550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Reviewer and Application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4625340</xdr:colOff>
          <xdr:row>3</xdr:row>
          <xdr:rowOff>7620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frmMetaData!$A$1:$C$4" spid="_x0000_s12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1447800"/>
              <a:ext cx="4960620" cy="7086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38100</xdr:colOff>
      <xdr:row>27</xdr:row>
      <xdr:rowOff>281940</xdr:rowOff>
    </xdr:from>
    <xdr:to>
      <xdr:col>1</xdr:col>
      <xdr:colOff>434340</xdr:colOff>
      <xdr:row>27</xdr:row>
      <xdr:rowOff>541020</xdr:rowOff>
    </xdr:to>
    <xdr:sp macro="[0]!ThisWorkbook.SPI" textlink="">
      <xdr:nvSpPr>
        <xdr:cNvPr id="5" name="TextBox 4"/>
        <xdr:cNvSpPr txBox="1"/>
      </xdr:nvSpPr>
      <xdr:spPr>
        <a:xfrm>
          <a:off x="373380" y="10881360"/>
          <a:ext cx="396240" cy="2590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>
              <a:solidFill>
                <a:schemeClr val="accent1"/>
              </a:solidFill>
            </a:rPr>
            <a:t>SPI</a:t>
          </a:r>
          <a:r>
            <a:rPr lang="en-US" sz="1100"/>
            <a:t>,</a:t>
          </a:r>
        </a:p>
      </xdr:txBody>
    </xdr:sp>
    <xdr:clientData/>
  </xdr:twoCellAnchor>
  <xdr:twoCellAnchor>
    <xdr:from>
      <xdr:col>1</xdr:col>
      <xdr:colOff>434340</xdr:colOff>
      <xdr:row>27</xdr:row>
      <xdr:rowOff>281940</xdr:rowOff>
    </xdr:from>
    <xdr:to>
      <xdr:col>1</xdr:col>
      <xdr:colOff>845820</xdr:colOff>
      <xdr:row>27</xdr:row>
      <xdr:rowOff>541020</xdr:rowOff>
    </xdr:to>
    <xdr:sp macro="[0]!ThisWorkbook.PCI" textlink="">
      <xdr:nvSpPr>
        <xdr:cNvPr id="6" name="TextBox 5"/>
        <xdr:cNvSpPr txBox="1"/>
      </xdr:nvSpPr>
      <xdr:spPr>
        <a:xfrm>
          <a:off x="769620" y="10881360"/>
          <a:ext cx="411480" cy="2590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>
              <a:solidFill>
                <a:schemeClr val="accent1"/>
              </a:solidFill>
            </a:rPr>
            <a:t>PCI</a:t>
          </a:r>
          <a:r>
            <a:rPr lang="en-US" sz="1100">
              <a:solidFill>
                <a:schemeClr val="accent1"/>
              </a:solidFill>
            </a:rPr>
            <a:t>,</a:t>
          </a:r>
        </a:p>
      </xdr:txBody>
    </xdr:sp>
    <xdr:clientData/>
  </xdr:twoCellAnchor>
  <xdr:twoCellAnchor>
    <xdr:from>
      <xdr:col>1</xdr:col>
      <xdr:colOff>845820</xdr:colOff>
      <xdr:row>27</xdr:row>
      <xdr:rowOff>281940</xdr:rowOff>
    </xdr:from>
    <xdr:to>
      <xdr:col>1</xdr:col>
      <xdr:colOff>1303020</xdr:colOff>
      <xdr:row>27</xdr:row>
      <xdr:rowOff>541020</xdr:rowOff>
    </xdr:to>
    <xdr:sp macro="[0]!ThisWorkbook.SOX" textlink="">
      <xdr:nvSpPr>
        <xdr:cNvPr id="7" name="TextBox 6"/>
        <xdr:cNvSpPr txBox="1"/>
      </xdr:nvSpPr>
      <xdr:spPr>
        <a:xfrm>
          <a:off x="1181100" y="10881360"/>
          <a:ext cx="457200" cy="2590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>
              <a:solidFill>
                <a:schemeClr val="accent1"/>
              </a:solidFill>
            </a:rPr>
            <a:t>SOX</a:t>
          </a:r>
          <a:r>
            <a:rPr lang="en-US" sz="1100"/>
            <a:t>,</a:t>
          </a:r>
        </a:p>
      </xdr:txBody>
    </xdr:sp>
    <xdr:clientData/>
  </xdr:twoCellAnchor>
  <xdr:twoCellAnchor>
    <xdr:from>
      <xdr:col>1</xdr:col>
      <xdr:colOff>1303020</xdr:colOff>
      <xdr:row>27</xdr:row>
      <xdr:rowOff>281940</xdr:rowOff>
    </xdr:from>
    <xdr:to>
      <xdr:col>1</xdr:col>
      <xdr:colOff>3992880</xdr:colOff>
      <xdr:row>27</xdr:row>
      <xdr:rowOff>541020</xdr:rowOff>
    </xdr:to>
    <xdr:sp macro="[0]!ThisWorkbook.SecureRestricted" textlink="">
      <xdr:nvSpPr>
        <xdr:cNvPr id="8" name="TextBox 7"/>
        <xdr:cNvSpPr txBox="1"/>
      </xdr:nvSpPr>
      <xdr:spPr>
        <a:xfrm>
          <a:off x="1638300" y="10881360"/>
          <a:ext cx="2689860" cy="2590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>
              <a:solidFill>
                <a:schemeClr val="accent1"/>
              </a:solidFill>
            </a:rPr>
            <a:t>AT&amp;T</a:t>
          </a:r>
          <a:r>
            <a:rPr lang="en-US" sz="1100" u="sng" baseline="0">
              <a:solidFill>
                <a:schemeClr val="accent1"/>
              </a:solidFill>
            </a:rPr>
            <a:t> Proprietary (Secure Restricted)</a:t>
          </a:r>
          <a:r>
            <a:rPr lang="en-US" sz="1100" u="none" baseline="0"/>
            <a:t>, etc...</a:t>
          </a:r>
          <a:endParaRPr lang="en-US" sz="1100" u="non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7620</xdr:rowOff>
        </xdr:from>
        <xdr:to>
          <xdr:col>1</xdr:col>
          <xdr:colOff>693420</xdr:colOff>
          <xdr:row>1</xdr:row>
          <xdr:rowOff>365760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frmMetaData!$F$1:$F$2" spid="_x0000_s12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620" y="259080"/>
              <a:ext cx="1021080" cy="3581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wasptop10.googlecode.com/files/OWASP%20Top%2010%20-%202013.pd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0"/>
  <sheetViews>
    <sheetView tabSelected="1" topLeftCell="B4" zoomScaleNormal="100" workbookViewId="0">
      <selection activeCell="A11" sqref="A11:E11"/>
    </sheetView>
  </sheetViews>
  <sheetFormatPr defaultColWidth="9.140625" defaultRowHeight="15" x14ac:dyDescent="0.25"/>
  <cols>
    <col min="1" max="1" width="4.85546875" style="3" customWidth="1"/>
    <col min="2" max="2" width="72.5703125" style="4" customWidth="1"/>
    <col min="3" max="3" width="9.42578125" style="3" customWidth="1"/>
    <col min="4" max="4" width="54.28515625" style="8" customWidth="1"/>
    <col min="5" max="5" width="33.28515625" style="2" customWidth="1"/>
    <col min="6" max="16384" width="9.140625" style="2"/>
  </cols>
  <sheetData>
    <row r="1" spans="1:6" ht="19.5" x14ac:dyDescent="0.3">
      <c r="A1" s="31" t="s">
        <v>41</v>
      </c>
      <c r="B1" s="32"/>
      <c r="C1" s="32"/>
      <c r="D1" s="32"/>
      <c r="E1" s="33"/>
    </row>
    <row r="2" spans="1:6" ht="111" customHeight="1" x14ac:dyDescent="0.2">
      <c r="A2" s="34" t="s">
        <v>49</v>
      </c>
      <c r="B2" s="35"/>
      <c r="C2" s="35"/>
      <c r="D2" s="35"/>
      <c r="E2" s="36"/>
    </row>
    <row r="3" spans="1:6" ht="55.15" customHeight="1" x14ac:dyDescent="0.2">
      <c r="A3" s="34"/>
      <c r="B3" s="35"/>
      <c r="C3" s="35"/>
      <c r="D3" s="35"/>
      <c r="E3" s="36"/>
    </row>
    <row r="4" spans="1:6" ht="33" customHeight="1" x14ac:dyDescent="0.25">
      <c r="A4" s="37"/>
      <c r="B4" s="38"/>
      <c r="C4" s="38"/>
      <c r="D4" s="38"/>
      <c r="E4" s="39"/>
    </row>
    <row r="5" spans="1:6" ht="13.9" customHeight="1" thickBot="1" x14ac:dyDescent="0.25">
      <c r="A5" s="40" t="s">
        <v>30</v>
      </c>
      <c r="B5" s="41"/>
      <c r="C5" s="41"/>
      <c r="D5" s="41"/>
      <c r="E5" s="42"/>
    </row>
    <row r="6" spans="1:6" s="1" customFormat="1" ht="45" x14ac:dyDescent="0.2">
      <c r="A6" s="46" t="s">
        <v>0</v>
      </c>
      <c r="B6" s="47"/>
      <c r="C6" s="21" t="s">
        <v>1</v>
      </c>
      <c r="D6" s="22" t="s">
        <v>26</v>
      </c>
      <c r="E6" s="22" t="s">
        <v>48</v>
      </c>
      <c r="F6" s="20"/>
    </row>
    <row r="7" spans="1:6" s="1" customFormat="1" x14ac:dyDescent="0.25">
      <c r="A7" s="48" t="s">
        <v>7</v>
      </c>
      <c r="B7" s="49"/>
      <c r="C7" s="49"/>
      <c r="D7" s="49"/>
      <c r="E7" s="50"/>
    </row>
    <row r="8" spans="1:6" s="1" customFormat="1" ht="45" x14ac:dyDescent="0.2">
      <c r="A8" s="11">
        <v>1</v>
      </c>
      <c r="B8" s="5" t="s">
        <v>17</v>
      </c>
      <c r="C8" s="6" t="s">
        <v>31</v>
      </c>
      <c r="D8" s="62" t="str">
        <f>IF(AND(ISBLANK(C8), ISBLANK(C9),ISBLANK(C10)),"",IF(OR(C8="YES",C9="YES",C10="YES",C8="UNSURE",C9="UNSURE",C10="UNSURE"),CONCATENATE("2013 - A1 - Injection",CHAR(10),"NOTE:  All inputs should be sanitized appropriately, via methods such as white listing, binding, character escaping, etc...  See Prevention methods found in A1"),""))</f>
        <v>2013 - A1 - Injection
NOTE:  All inputs should be sanitized appropriately, via methods such as white listing, binding, character escaping, etc...  See Prevention methods found in A1</v>
      </c>
      <c r="E8" s="54" t="s">
        <v>65</v>
      </c>
    </row>
    <row r="9" spans="1:6" ht="30" x14ac:dyDescent="0.2">
      <c r="A9" s="11">
        <f>A8+1</f>
        <v>2</v>
      </c>
      <c r="B9" s="5" t="s">
        <v>18</v>
      </c>
      <c r="C9" s="6" t="s">
        <v>32</v>
      </c>
      <c r="D9" s="62"/>
      <c r="E9" s="54"/>
    </row>
    <row r="10" spans="1:6" s="1" customFormat="1" ht="25.5" x14ac:dyDescent="0.2">
      <c r="A10" s="11">
        <f>A9+1</f>
        <v>3</v>
      </c>
      <c r="B10" s="24" t="s">
        <v>19</v>
      </c>
      <c r="C10" s="6" t="s">
        <v>32</v>
      </c>
      <c r="D10" s="62"/>
      <c r="E10" s="54"/>
    </row>
    <row r="11" spans="1:6" s="1" customFormat="1" x14ac:dyDescent="0.2">
      <c r="A11" s="43" t="s">
        <v>8</v>
      </c>
      <c r="B11" s="44"/>
      <c r="C11" s="44"/>
      <c r="D11" s="44"/>
      <c r="E11" s="45"/>
    </row>
    <row r="12" spans="1:6" ht="30" x14ac:dyDescent="0.2">
      <c r="A12" s="11">
        <f>A10+1</f>
        <v>4</v>
      </c>
      <c r="B12" s="5" t="s">
        <v>55</v>
      </c>
      <c r="C12" s="6" t="s">
        <v>32</v>
      </c>
      <c r="D12" s="62" t="str">
        <f>IF(AND(ISBLANK(C12), ISBLANK(C13),ISBLANK(C14),ISBLANK(C15)),"",IF(OR(C12="YES",C12="UNSURE",C13="YES", C13="UNSURE",C14="YES", C14="UNSURE",C15="YES",C15="UNSURE"),"2013 - A2 - Broken Authentication and Session Management",""))</f>
        <v/>
      </c>
      <c r="E12" s="55"/>
    </row>
    <row r="13" spans="1:6" ht="45" x14ac:dyDescent="0.2">
      <c r="A13" s="11">
        <f>A12+1</f>
        <v>5</v>
      </c>
      <c r="B13" s="5" t="s">
        <v>50</v>
      </c>
      <c r="C13" s="6" t="s">
        <v>32</v>
      </c>
      <c r="D13" s="62"/>
      <c r="E13" s="55"/>
    </row>
    <row r="14" spans="1:6" ht="30" x14ac:dyDescent="0.2">
      <c r="A14" s="11">
        <f>A13+1</f>
        <v>6</v>
      </c>
      <c r="B14" s="5" t="s">
        <v>43</v>
      </c>
      <c r="C14" s="6" t="s">
        <v>32</v>
      </c>
      <c r="D14" s="62"/>
      <c r="E14" s="55"/>
    </row>
    <row r="15" spans="1:6" x14ac:dyDescent="0.2">
      <c r="A15" s="11">
        <f>A14+1</f>
        <v>7</v>
      </c>
      <c r="B15" s="5" t="s">
        <v>20</v>
      </c>
      <c r="C15" s="6" t="s">
        <v>32</v>
      </c>
      <c r="D15" s="25" t="str">
        <f>IF(ISBLANK(C15),"",IF(OR(C15="YES",C15="UNSURE"),"Ensure sessionID are generated using cryptographically secure random number generators (RNGs), have expiration based on inactivity, and are using unique tokens for activities involving sensitive information.",""))</f>
        <v/>
      </c>
      <c r="E15" s="55"/>
    </row>
    <row r="16" spans="1:6" x14ac:dyDescent="0.2">
      <c r="A16" s="43" t="s">
        <v>9</v>
      </c>
      <c r="B16" s="44"/>
      <c r="C16" s="44"/>
      <c r="D16" s="44"/>
      <c r="E16" s="45"/>
    </row>
    <row r="17" spans="1:5" ht="38.25" x14ac:dyDescent="0.2">
      <c r="A17" s="11">
        <f>A15+1</f>
        <v>8</v>
      </c>
      <c r="B17" s="5" t="s">
        <v>21</v>
      </c>
      <c r="C17" s="6" t="s">
        <v>32</v>
      </c>
      <c r="D17" s="25" t="str">
        <f>IF(ISBLANK(C17),"",IF(OR(C17="YES",C17="UNSURE"),"2013 - A3 - Cross-Site Scripting (XSS)",""))</f>
        <v/>
      </c>
      <c r="E17" s="29" t="s">
        <v>61</v>
      </c>
    </row>
    <row r="18" spans="1:5" x14ac:dyDescent="0.2">
      <c r="A18" s="43" t="s">
        <v>10</v>
      </c>
      <c r="B18" s="44"/>
      <c r="C18" s="44"/>
      <c r="D18" s="44"/>
      <c r="E18" s="45"/>
    </row>
    <row r="19" spans="1:5" ht="76.5" x14ac:dyDescent="0.2">
      <c r="A19" s="11">
        <f>A17+1</f>
        <v>9</v>
      </c>
      <c r="B19" s="5" t="s">
        <v>51</v>
      </c>
      <c r="C19" s="6" t="s">
        <v>31</v>
      </c>
      <c r="D19" s="25" t="str">
        <f>IF(ISBLANK(C19),"",IF(OR(C19="YES",C19="UNSURE"),"2013 - A4 - Insecure Direct Object References",""))</f>
        <v>2013 - A4 - Insecure Direct Object References</v>
      </c>
      <c r="E19" s="29" t="s">
        <v>60</v>
      </c>
    </row>
    <row r="20" spans="1:5" x14ac:dyDescent="0.2">
      <c r="A20" s="43" t="s">
        <v>11</v>
      </c>
      <c r="B20" s="44"/>
      <c r="C20" s="44"/>
      <c r="D20" s="44"/>
      <c r="E20" s="45"/>
    </row>
    <row r="21" spans="1:5" ht="45" x14ac:dyDescent="0.2">
      <c r="A21" s="11">
        <f>A19+1</f>
        <v>10</v>
      </c>
      <c r="B21" s="5" t="s">
        <v>44</v>
      </c>
      <c r="C21" s="6" t="s">
        <v>32</v>
      </c>
      <c r="D21" s="62" t="str">
        <f>IF(AND(ISBLANK(C21), ISBLANK(C22),ISBLANK(C23),ISBLANK(C24),ISBLANK(C25)),"",IF(OR(C21="YES",C21="UNSURE",C22="YES",C22="UNSURE",C23="YES",C23="UNSURE",C24="YES",C24="UNSURE",C25="YES",C25="UNSURE"),"2013 - A5 - Security Misconfiguration",""))</f>
        <v/>
      </c>
      <c r="E21" s="56"/>
    </row>
    <row r="22" spans="1:5" ht="45" x14ac:dyDescent="0.2">
      <c r="A22" s="11">
        <f>A21+1</f>
        <v>11</v>
      </c>
      <c r="B22" s="5" t="s">
        <v>45</v>
      </c>
      <c r="C22" s="6" t="s">
        <v>32</v>
      </c>
      <c r="D22" s="62"/>
      <c r="E22" s="57"/>
    </row>
    <row r="23" spans="1:5" ht="30" x14ac:dyDescent="0.2">
      <c r="A23" s="11">
        <f>A22+1</f>
        <v>12</v>
      </c>
      <c r="B23" s="5" t="s">
        <v>46</v>
      </c>
      <c r="C23" s="6" t="s">
        <v>32</v>
      </c>
      <c r="D23" s="62"/>
      <c r="E23" s="57"/>
    </row>
    <row r="24" spans="1:5" ht="30" x14ac:dyDescent="0.2">
      <c r="A24" s="11">
        <f>A23+1</f>
        <v>13</v>
      </c>
      <c r="B24" s="5" t="s">
        <v>22</v>
      </c>
      <c r="C24" s="6" t="s">
        <v>32</v>
      </c>
      <c r="D24" s="62"/>
      <c r="E24" s="57"/>
    </row>
    <row r="25" spans="1:5" ht="45" x14ac:dyDescent="0.2">
      <c r="A25" s="11">
        <f>A24+1</f>
        <v>14</v>
      </c>
      <c r="B25" s="9" t="s">
        <v>52</v>
      </c>
      <c r="C25" s="6" t="s">
        <v>32</v>
      </c>
      <c r="D25" s="62"/>
      <c r="E25" s="57"/>
    </row>
    <row r="26" spans="1:5" ht="45" customHeight="1" x14ac:dyDescent="0.2">
      <c r="A26" s="11">
        <v>15</v>
      </c>
      <c r="B26" s="9" t="s">
        <v>27</v>
      </c>
      <c r="C26" s="6" t="s">
        <v>32</v>
      </c>
      <c r="D26" s="25" t="str">
        <f>IF(ISBLANK(C26),"",IF(OR(C26="YES",C26="UNSURE"),"Ensure debugging in production code is disabled to protect against the data leakage.",""))</f>
        <v/>
      </c>
      <c r="E26" s="58"/>
    </row>
    <row r="27" spans="1:5" x14ac:dyDescent="0.2">
      <c r="A27" s="43" t="s">
        <v>12</v>
      </c>
      <c r="B27" s="44"/>
      <c r="C27" s="44"/>
      <c r="D27" s="44"/>
      <c r="E27" s="45"/>
    </row>
    <row r="28" spans="1:5" ht="46.15" customHeight="1" x14ac:dyDescent="0.2">
      <c r="A28" s="11">
        <v>16</v>
      </c>
      <c r="B28" s="5" t="s">
        <v>23</v>
      </c>
      <c r="C28" s="6" t="s">
        <v>31</v>
      </c>
      <c r="D28" s="62" t="str">
        <f>IF(AND(ISBLANK(C28), ISBLANK(C29),ISBLANK(C30)),"",IF(OR(C28="YES",C28="UNSURE",C29="YES",C29="UNSURE",C30="YES",C30="UNSURE"),"2013 - A6 - Sensitive Data Exposure",""))</f>
        <v>2013 - A6 - Sensitive Data Exposure</v>
      </c>
      <c r="E28" s="59" t="s">
        <v>62</v>
      </c>
    </row>
    <row r="29" spans="1:5" ht="45" x14ac:dyDescent="0.2">
      <c r="A29" s="11">
        <f>A28+1</f>
        <v>17</v>
      </c>
      <c r="B29" s="5" t="s">
        <v>24</v>
      </c>
      <c r="C29" s="6" t="s">
        <v>32</v>
      </c>
      <c r="D29" s="62"/>
      <c r="E29" s="60"/>
    </row>
    <row r="30" spans="1:5" ht="30" x14ac:dyDescent="0.2">
      <c r="A30" s="11">
        <v>18</v>
      </c>
      <c r="B30" s="5" t="s">
        <v>28</v>
      </c>
      <c r="C30" s="6" t="s">
        <v>32</v>
      </c>
      <c r="D30" s="25" t="str">
        <f>IF(ISBLANK(C30),"",IF(OR(C30="YES",C30="UNSURE"),"Ensure proper handling of exceptions/error handling to prevent information leakage.",""))</f>
        <v/>
      </c>
      <c r="E30" s="61"/>
    </row>
    <row r="31" spans="1:5" x14ac:dyDescent="0.2">
      <c r="A31" s="43" t="s">
        <v>13</v>
      </c>
      <c r="B31" s="44"/>
      <c r="C31" s="44"/>
      <c r="D31" s="44"/>
      <c r="E31" s="45"/>
    </row>
    <row r="32" spans="1:5" ht="30" x14ac:dyDescent="0.2">
      <c r="A32" s="11">
        <v>19</v>
      </c>
      <c r="B32" s="5" t="s">
        <v>47</v>
      </c>
      <c r="C32" s="6" t="s">
        <v>32</v>
      </c>
      <c r="D32" s="25" t="s">
        <v>13</v>
      </c>
      <c r="E32" s="27" t="s">
        <v>63</v>
      </c>
    </row>
    <row r="33" spans="1:5" x14ac:dyDescent="0.2">
      <c r="A33" s="43" t="s">
        <v>14</v>
      </c>
      <c r="B33" s="44"/>
      <c r="C33" s="44"/>
      <c r="D33" s="44"/>
      <c r="E33" s="45"/>
    </row>
    <row r="34" spans="1:5" ht="25.5" x14ac:dyDescent="0.2">
      <c r="A34" s="11">
        <v>20</v>
      </c>
      <c r="B34" s="19" t="s">
        <v>53</v>
      </c>
      <c r="C34" s="6" t="s">
        <v>32</v>
      </c>
      <c r="D34" s="62" t="str">
        <f>IF(AND(ISBLANK(C34),ISBLANK(C35)),"",IF(OR(C34="YES",C34="UNSURE",C35="YES",C35="UNSURE"),"2013 - A8 - Cross-Site Request Forgery (CSRF)",""))</f>
        <v/>
      </c>
      <c r="E34" s="56"/>
    </row>
    <row r="35" spans="1:5" ht="25.5" x14ac:dyDescent="0.2">
      <c r="A35" s="11">
        <v>21</v>
      </c>
      <c r="B35" s="10" t="s">
        <v>54</v>
      </c>
      <c r="C35" s="6" t="s">
        <v>32</v>
      </c>
      <c r="D35" s="62"/>
      <c r="E35" s="58"/>
    </row>
    <row r="36" spans="1:5" x14ac:dyDescent="0.2">
      <c r="A36" s="43" t="s">
        <v>15</v>
      </c>
      <c r="B36" s="44"/>
      <c r="C36" s="44"/>
      <c r="D36" s="44"/>
      <c r="E36" s="45"/>
    </row>
    <row r="37" spans="1:5" ht="128.25" x14ac:dyDescent="0.25">
      <c r="A37" s="11">
        <v>22</v>
      </c>
      <c r="B37" s="26" t="s">
        <v>29</v>
      </c>
      <c r="C37" s="6" t="s">
        <v>31</v>
      </c>
      <c r="D37" s="25" t="str">
        <f>IF(ISBLANK(C37),"",IF(OR(C37="YES",C37="UNSURE"),"2013 - A9 - Using Components with Known Vulnerabilities","TSS Standards and Scanning / Remediation Programs already cover this issue."))</f>
        <v>2013 - A9 - Using Components with Known Vulnerabilities</v>
      </c>
      <c r="E37" s="30" t="s">
        <v>64</v>
      </c>
    </row>
    <row r="38" spans="1:5" x14ac:dyDescent="0.2">
      <c r="A38" s="43" t="s">
        <v>16</v>
      </c>
      <c r="B38" s="44"/>
      <c r="C38" s="44"/>
      <c r="D38" s="44"/>
      <c r="E38" s="45"/>
    </row>
    <row r="39" spans="1:5" ht="30" x14ac:dyDescent="0.2">
      <c r="A39" s="11">
        <v>23</v>
      </c>
      <c r="B39" s="5" t="s">
        <v>25</v>
      </c>
      <c r="C39" s="6" t="s">
        <v>32</v>
      </c>
      <c r="D39" s="25" t="str">
        <f>IF(ISBLANK(C39),"",IF(OR(C39="YES",C39="UNSURE"),"2013 - A10 - Unvalidated Redirects and Forwards",""))</f>
        <v/>
      </c>
      <c r="E39" s="23"/>
    </row>
    <row r="40" spans="1:5" ht="37.15" customHeight="1" thickBot="1" x14ac:dyDescent="0.35">
      <c r="A40" s="51" t="s">
        <v>42</v>
      </c>
      <c r="B40" s="52"/>
      <c r="C40" s="52"/>
      <c r="D40" s="52"/>
      <c r="E40" s="53"/>
    </row>
  </sheetData>
  <sheetProtection sheet="1" objects="1" scenarios="1"/>
  <protectedRanges>
    <protectedRange sqref="E8:E10 E12:E15 E17 E19 E21:E26 E28:E30 E32 E34:E35 E37 E37 E39" name="Range2"/>
    <protectedRange sqref="C8:C10 C12:C15 C17 C19 C21:C26 C28:C30 C32 C34:C35 C37 C39" name="Range1"/>
  </protectedRanges>
  <mergeCells count="27">
    <mergeCell ref="A40:E40"/>
    <mergeCell ref="E8:E10"/>
    <mergeCell ref="E12:E15"/>
    <mergeCell ref="E21:E26"/>
    <mergeCell ref="E28:E30"/>
    <mergeCell ref="E34:E35"/>
    <mergeCell ref="A27:E27"/>
    <mergeCell ref="A31:E31"/>
    <mergeCell ref="A33:E33"/>
    <mergeCell ref="A36:E36"/>
    <mergeCell ref="A38:E38"/>
    <mergeCell ref="D8:D10"/>
    <mergeCell ref="D21:D25"/>
    <mergeCell ref="D28:D29"/>
    <mergeCell ref="D12:D14"/>
    <mergeCell ref="D34:D35"/>
    <mergeCell ref="A11:E11"/>
    <mergeCell ref="A16:E16"/>
    <mergeCell ref="A18:E18"/>
    <mergeCell ref="A20:E20"/>
    <mergeCell ref="A6:B6"/>
    <mergeCell ref="A7:E7"/>
    <mergeCell ref="A1:E1"/>
    <mergeCell ref="A2:E2"/>
    <mergeCell ref="A3:E3"/>
    <mergeCell ref="A4:E4"/>
    <mergeCell ref="A5:E5"/>
  </mergeCells>
  <dataValidations count="1">
    <dataValidation type="list" allowBlank="1" showInputMessage="1" showErrorMessage="1" sqref="C8:C10 C12:C15 C17 C19 C21:C26 C28:C30 C32 C34:C35 C37 C39">
      <formula1>RESPONSE</formula1>
    </dataValidation>
  </dataValidations>
  <hyperlinks>
    <hyperlink ref="A5:D5" r:id="rId1" display="Download OWASP Top 10 (PDF version)"/>
  </hyperlinks>
  <printOptions horizontalCentered="1" verticalCentered="1"/>
  <pageMargins left="0.25" right="0.25" top="0.25" bottom="0.75" header="0.3" footer="0.3"/>
  <pageSetup orientation="landscape" r:id="rId2"/>
  <headerFooter alignWithMargins="0">
    <oddFooter xml:space="preserve">&amp;C&amp;"Arial,Bold"AT&amp;&amp;T Proprietary (Restricted)
Only for use by authorized individuals or any above-designated team(s) within the AT&amp;&amp;T companies and not for general distribution 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_Checklist">
                <anchor moveWithCells="1" sizeWithCells="1">
                  <from>
                    <xdr:col>1</xdr:col>
                    <xdr:colOff>0</xdr:colOff>
                    <xdr:row>3</xdr:row>
                    <xdr:rowOff>76200</xdr:rowOff>
                  </from>
                  <to>
                    <xdr:col>4</xdr:col>
                    <xdr:colOff>1971675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pdate_User_Application_Info">
                <anchor moveWithCells="1" sizeWithCells="1">
                  <from>
                    <xdr:col>1</xdr:col>
                    <xdr:colOff>4933950</xdr:colOff>
                    <xdr:row>2</xdr:row>
                    <xdr:rowOff>152400</xdr:rowOff>
                  </from>
                  <to>
                    <xdr:col>4</xdr:col>
                    <xdr:colOff>1971675</xdr:colOff>
                    <xdr:row>2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"/>
  <sheetViews>
    <sheetView workbookViewId="0">
      <selection activeCell="A2" sqref="A2"/>
    </sheetView>
  </sheetViews>
  <sheetFormatPr defaultRowHeight="12.75" x14ac:dyDescent="0.2"/>
  <cols>
    <col min="1" max="1" width="19.7109375" bestFit="1" customWidth="1"/>
    <col min="2" max="2" width="33.5703125" customWidth="1"/>
    <col min="3" max="3" width="19.5703125" bestFit="1" customWidth="1"/>
    <col min="4" max="4" width="8.85546875" customWidth="1"/>
    <col min="6" max="6" width="14.7109375" bestFit="1" customWidth="1"/>
  </cols>
  <sheetData>
    <row r="1" spans="1:6" ht="15" x14ac:dyDescent="0.2">
      <c r="A1" s="14" t="s">
        <v>36</v>
      </c>
      <c r="B1" s="14" t="s">
        <v>35</v>
      </c>
      <c r="C1" s="14" t="s">
        <v>56</v>
      </c>
      <c r="F1" s="14" t="s">
        <v>40</v>
      </c>
    </row>
    <row r="2" spans="1:6" x14ac:dyDescent="0.2">
      <c r="A2" s="16" t="s">
        <v>57</v>
      </c>
      <c r="B2" s="16" t="s">
        <v>58</v>
      </c>
      <c r="C2" s="17">
        <v>42181</v>
      </c>
      <c r="F2" s="28">
        <v>42184</v>
      </c>
    </row>
    <row r="3" spans="1:6" ht="15" x14ac:dyDescent="0.2">
      <c r="A3" s="15" t="s">
        <v>37</v>
      </c>
      <c r="B3" s="14" t="s">
        <v>38</v>
      </c>
      <c r="C3" s="14" t="s">
        <v>39</v>
      </c>
    </row>
    <row r="4" spans="1:6" x14ac:dyDescent="0.2">
      <c r="A4" s="18">
        <v>18257</v>
      </c>
      <c r="B4" s="16" t="s">
        <v>59</v>
      </c>
      <c r="C4" s="17">
        <v>42197</v>
      </c>
    </row>
  </sheetData>
  <dataValidations disablePrompts="1" count="1">
    <dataValidation type="date" allowBlank="1" showInputMessage="1" showErrorMessage="1" sqref="C2 C4">
      <formula1>41759</formula1>
      <formula2>45777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/>
  </sheetViews>
  <sheetFormatPr defaultRowHeight="12.75" x14ac:dyDescent="0.2"/>
  <sheetData>
    <row r="1" spans="1:1" x14ac:dyDescent="0.2">
      <c r="A1" s="13" t="s">
        <v>34</v>
      </c>
    </row>
    <row r="2" spans="1:1" x14ac:dyDescent="0.2">
      <c r="A2" s="12" t="s">
        <v>31</v>
      </c>
    </row>
    <row r="3" spans="1:1" x14ac:dyDescent="0.2">
      <c r="A3" s="12" t="s">
        <v>32</v>
      </c>
    </row>
    <row r="4" spans="1:1" x14ac:dyDescent="0.2">
      <c r="A4" s="1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>
      <selection activeCell="A2" sqref="A2:A5"/>
    </sheetView>
  </sheetViews>
  <sheetFormatPr defaultColWidth="9.140625" defaultRowHeight="15" x14ac:dyDescent="0.25"/>
  <cols>
    <col min="1" max="1" width="46.5703125" style="7" bestFit="1" customWidth="1"/>
    <col min="2" max="16384" width="9.140625" style="7"/>
  </cols>
  <sheetData>
    <row r="1" spans="1:1" x14ac:dyDescent="0.25">
      <c r="A1" s="7" t="s">
        <v>6</v>
      </c>
    </row>
    <row r="2" spans="1:1" x14ac:dyDescent="0.25">
      <c r="A2" s="7" t="s">
        <v>2</v>
      </c>
    </row>
    <row r="3" spans="1:1" x14ac:dyDescent="0.25">
      <c r="A3" s="7" t="s">
        <v>3</v>
      </c>
    </row>
    <row r="4" spans="1:1" x14ac:dyDescent="0.25">
      <c r="A4" s="7" t="s">
        <v>4</v>
      </c>
    </row>
    <row r="5" spans="1:1" x14ac:dyDescent="0.25">
      <c r="A5" s="7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B72ACFBC3CA847A28EA4C5BB7DE802" ma:contentTypeVersion="0" ma:contentTypeDescription="Create a new document." ma:contentTypeScope="" ma:versionID="a51725f5ddab55a251e0d35732e3558b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4782431-6BE4-4E9E-B654-E43DF18C81F3}">
  <ds:schemaRefs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90571EA-07E8-4F9A-B301-287B4E6B80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EA46A0-A28F-4DED-942A-F812BAE42A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Checklist</vt:lpstr>
      <vt:lpstr>frmMetaData</vt:lpstr>
      <vt:lpstr>.</vt:lpstr>
      <vt:lpstr>Sheet3</vt:lpstr>
      <vt:lpstr>ClassificationList</vt:lpstr>
      <vt:lpstr>RESPONSE</vt:lpstr>
    </vt:vector>
  </TitlesOfParts>
  <Company>AT&amp;T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Milliken</dc:creator>
  <cp:lastModifiedBy>CDT User</cp:lastModifiedBy>
  <cp:lastPrinted>2014-05-13T00:40:07Z</cp:lastPrinted>
  <dcterms:created xsi:type="dcterms:W3CDTF">2007-09-28T16:53:15Z</dcterms:created>
  <dcterms:modified xsi:type="dcterms:W3CDTF">2015-06-29T20:47:42Z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0x010100E9B72ACFBC3CA847A28EA4C5BB7DE802</vt:lpwstr>
  </property>
</Properties>
</file>